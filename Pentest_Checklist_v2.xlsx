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B - Baseline" sheetId="1" state="visible" r:id="rId3"/>
    <sheet name="WEB - Custom" sheetId="2" state="visible" r:id="rId4"/>
    <sheet name="MOBILE - Baseline" sheetId="3" state="visible" r:id="rId5"/>
    <sheet name="MOBILE - Custom" sheetId="4" state="visible" r:id="rId6"/>
    <sheet name="DESKTOP - Baseline" sheetId="5" state="visible" r:id="rId7"/>
    <sheet name="DESKTOP - Custom" sheetId="6" state="visible" r:id="rId8"/>
    <sheet name="LEGEND" sheetId="7" state="visible" r:id="rId9"/>
  </sheets>
  <definedNames>
    <definedName function="false" hidden="true" localSheetId="4" name="_xlnm._FilterDatabase" vbProcedure="false">'DESKTOP - Baseline'!$A$1:$L$48</definedName>
    <definedName function="false" hidden="true" localSheetId="5" name="_xlnm._FilterDatabase" vbProcedure="false">'DESKTOP - Custom'!$A$1:$M$29</definedName>
    <definedName function="false" hidden="true" localSheetId="2" name="_xlnm._FilterDatabase" vbProcedure="false">'MOBILE - Baseline'!$A$1:$L$51</definedName>
    <definedName function="false" hidden="true" localSheetId="3" name="_xlnm._FilterDatabase" vbProcedure="false">'MOBILE - Custom'!$A$1:$M$30</definedName>
    <definedName function="false" hidden="true" localSheetId="0" name="_xlnm._FilterDatabase" vbProcedure="false">'WEB - Baseline'!$A$1:$L$81</definedName>
    <definedName function="false" hidden="true" localSheetId="1" name="_xlnm._FilterDatabase" vbProcedure="false">'WEB - Custom'!$A$1:$M$71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<sst xmlns="http://schemas.openxmlformats.org/spreadsheetml/2006/main" count="2594" uniqueCount="1055">
  <si>
    <t xml:space="preserve">#</t>
  </si>
  <si>
    <t xml:space="preserve">Ref ID</t>
  </si>
  <si>
    <t xml:space="preserve">Std Ref</t>
  </si>
  <si>
    <t xml:space="preserve">Group</t>
  </si>
  <si>
    <t xml:space="preserve">Test Case</t>
  </si>
  <si>
    <t xml:space="preserve">Objective / What to Look For</t>
  </si>
  <si>
    <t xml:space="preserve">Mode</t>
  </si>
  <si>
    <t xml:space="preserve">Type</t>
  </si>
  <si>
    <t xml:space="preserve">Severity</t>
  </si>
  <si>
    <t xml:space="preserve">Status</t>
  </si>
  <si>
    <t xml:space="preserve">Tested On</t>
  </si>
  <si>
    <t xml:space="preserve">Evidence / Notes</t>
  </si>
  <si>
    <t xml:space="preserve">Recon &amp; Information Gathering</t>
  </si>
  <si>
    <t xml:space="preserve">WEB-BL-001</t>
  </si>
  <si>
    <t xml:space="preserve">WSTG-INFO-01</t>
  </si>
  <si>
    <t xml:space="preserve">Recon</t>
  </si>
  <si>
    <t xml:space="preserve">Passive subdomain enumeration</t>
  </si>
  <si>
    <t xml:space="preserve">Amass, Subfinder, crt.sh — discover subdomains without active probing</t>
  </si>
  <si>
    <t xml:space="preserve">Black-Box</t>
  </si>
  <si>
    <t xml:space="preserve">Test</t>
  </si>
  <si>
    <t xml:space="preserve">Info</t>
  </si>
  <si>
    <t xml:space="preserve">Not Started</t>
  </si>
  <si>
    <t xml:space="preserve">WEB-BL-002</t>
  </si>
  <si>
    <t xml:space="preserve">WSTG-INFO-02</t>
  </si>
  <si>
    <t xml:space="preserve">Active subdomain / vhost fuzzing</t>
  </si>
  <si>
    <t xml:space="preserve">FFUF/Gobuster vhost mode — find non-public subdomains and virtual hosts</t>
  </si>
  <si>
    <t xml:space="preserve">WEB-BL-003</t>
  </si>
  <si>
    <t xml:space="preserve">WSTG-INFO-03</t>
  </si>
  <si>
    <t xml:space="preserve">Technology stack fingerprinting</t>
  </si>
  <si>
    <t xml:space="preserve">Wappalyzer, WhatWeb, response headers — identify frameworks, servers, CDN</t>
  </si>
  <si>
    <t xml:space="preserve">WEB-BL-004</t>
  </si>
  <si>
    <t xml:space="preserve">WSTG-INFO-04</t>
  </si>
  <si>
    <t xml:space="preserve">JS file &amp; source map analysis</t>
  </si>
  <si>
    <t xml:space="preserve">Check for .map files, exposed source, hardcoded keys, internal endpoint refs in JS bundles</t>
  </si>
  <si>
    <t xml:space="preserve">Both</t>
  </si>
  <si>
    <t xml:space="preserve">Medium</t>
  </si>
  <si>
    <t xml:space="preserve">WEB-BL-005</t>
  </si>
  <si>
    <t xml:space="preserve">robots.txt / sitemap / well-known URIs</t>
  </si>
  <si>
    <t xml:space="preserve">Review disallowed paths, hidden endpoints, admin paths</t>
  </si>
  <si>
    <t xml:space="preserve">WEB-BL-006</t>
  </si>
  <si>
    <t xml:space="preserve">WSTG-INFO-05</t>
  </si>
  <si>
    <t xml:space="preserve">Cloud storage &amp; exposed bucket discovery</t>
  </si>
  <si>
    <t xml:space="preserve">Search for exposed S3/GCS/Azure buckets via naming patterns — data leakage risk</t>
  </si>
  <si>
    <t xml:space="preserve">High</t>
  </si>
  <si>
    <t xml:space="preserve">WEB-BL-007</t>
  </si>
  <si>
    <t xml:space="preserve">GitHub / public repo secrets scan</t>
  </si>
  <si>
    <t xml:space="preserve">TruffleHog, GitLeaks — check org repos for API keys, creds, internal URLs</t>
  </si>
  <si>
    <t xml:space="preserve">WEB-BL-008</t>
  </si>
  <si>
    <t xml:space="preserve">WAF detection &amp; bypass surface mapping</t>
  </si>
  <si>
    <t xml:space="preserve">Identify WAF vendor, test bypass techniques (encoding, fragmentation)</t>
  </si>
  <si>
    <t xml:space="preserve">WEB-BL-009</t>
  </si>
  <si>
    <t xml:space="preserve">WSTG-INFO-10</t>
  </si>
  <si>
    <t xml:space="preserve">Subdomain takeover check</t>
  </si>
  <si>
    <t xml:space="preserve">Check dangling CNAME records pointing to deprovisioned cloud services (S3, GitHub Pages, Heroku)</t>
  </si>
  <si>
    <t xml:space="preserve">Configuration &amp; Deployment</t>
  </si>
  <si>
    <t xml:space="preserve">WEB-BL-010</t>
  </si>
  <si>
    <t xml:space="preserve">WSTG-CONF-01</t>
  </si>
  <si>
    <t xml:space="preserve">Config</t>
  </si>
  <si>
    <t xml:space="preserve">HTTP security headers review</t>
  </si>
  <si>
    <t xml:space="preserve">Missing HSTS, CSP, X-Frame-Options, X-Content-Type-Options, Permissions-Policy</t>
  </si>
  <si>
    <t xml:space="preserve">WEB-BL-011</t>
  </si>
  <si>
    <t xml:space="preserve">WSTG-CONF-02</t>
  </si>
  <si>
    <t xml:space="preserve">TLS/SSL configuration</t>
  </si>
  <si>
    <t xml:space="preserve">Weak ciphers, TLS 1.0/1.1 support, self-signed cert, expired cert — testssl.sh</t>
  </si>
  <si>
    <t xml:space="preserve">WEB-BL-012</t>
  </si>
  <si>
    <t xml:space="preserve">WSTG-CONF-04</t>
  </si>
  <si>
    <t xml:space="preserve">HTTP methods enumeration</t>
  </si>
  <si>
    <t xml:space="preserve">Test OPTIONS, TRACE, PUT, DELETE — identify dangerous methods enabled</t>
  </si>
  <si>
    <t xml:space="preserve">WEB-BL-013</t>
  </si>
  <si>
    <t xml:space="preserve">WSTG-CONF-05</t>
  </si>
  <si>
    <t xml:space="preserve">Default / backup file discovery</t>
  </si>
  <si>
    <t xml:space="preserve">FFUF — .bak, .old, .swp, .git, .env, web.config, phpinfo.php exposure</t>
  </si>
  <si>
    <t xml:space="preserve">WEB-BL-014</t>
  </si>
  <si>
    <t xml:space="preserve">WSTG-CONF-07</t>
  </si>
  <si>
    <t xml:space="preserve">HTTP Strict Transport Security &amp; cookie flags</t>
  </si>
  <si>
    <t xml:space="preserve">Secure, HttpOnly, SameSite flags on session cookies; HSTS preload</t>
  </si>
  <si>
    <t xml:space="preserve">WEB-BL-015</t>
  </si>
  <si>
    <t xml:space="preserve">WSTG-CONF-10</t>
  </si>
  <si>
    <t xml:space="preserve">CORS misconfiguration</t>
  </si>
  <si>
    <t xml:space="preserve">Check Access-Control-Allow-Origin reflection, null origin, wildcard with credentials</t>
  </si>
  <si>
    <t xml:space="preserve">WEB-BL-016</t>
  </si>
  <si>
    <t xml:space="preserve">WSTG-CONF-06</t>
  </si>
  <si>
    <t xml:space="preserve">HTTP Request Smuggling</t>
  </si>
  <si>
    <t xml:space="preserve">CL.TE / TE.CL desync via Burp HTTP Request Smuggler extension — cache poisoning, auth bypass</t>
  </si>
  <si>
    <t xml:space="preserve">Authentication</t>
  </si>
  <si>
    <t xml:space="preserve">WEB-BL-017</t>
  </si>
  <si>
    <t xml:space="preserve">WSTG-ATHN-01</t>
  </si>
  <si>
    <t xml:space="preserve">AuthN</t>
  </si>
  <si>
    <t xml:space="preserve">Default credentials test</t>
  </si>
  <si>
    <t xml:space="preserve">Try admin/admin, vendor defaults on login panels, admin paths</t>
  </si>
  <si>
    <t xml:space="preserve">WEB-BL-018</t>
  </si>
  <si>
    <t xml:space="preserve">WSTG-ATHN-02</t>
  </si>
  <si>
    <t xml:space="preserve">Username enumeration</t>
  </si>
  <si>
    <t xml:space="preserve">Compare response timing, size, message for valid vs invalid usernames</t>
  </si>
  <si>
    <t xml:space="preserve">Low</t>
  </si>
  <si>
    <t xml:space="preserve">WEB-BL-019</t>
  </si>
  <si>
    <t xml:space="preserve">WSTG-ATHN-03</t>
  </si>
  <si>
    <t xml:space="preserve">Brute force &amp; rate limit</t>
  </si>
  <si>
    <t xml:space="preserve">Ffuf/Hydra — verify lockout, CAPTCHA, rate limiting on login and password reset</t>
  </si>
  <si>
    <t xml:space="preserve">WEB-BL-020</t>
  </si>
  <si>
    <t xml:space="preserve">WSTG-ATHN-04</t>
  </si>
  <si>
    <t xml:space="preserve">JWT security testing</t>
  </si>
  <si>
    <t xml:space="preserve">alg:none, RS256→HS256 confusion, weak secret brute force (hashcat), JWK injection, kid path traversal, expired token acceptance</t>
  </si>
  <si>
    <t xml:space="preserve">Critical</t>
  </si>
  <si>
    <t xml:space="preserve">WEB-BL-021</t>
  </si>
  <si>
    <t xml:space="preserve">WSTG-ATHN-09</t>
  </si>
  <si>
    <t xml:space="preserve">OAuth 2.0 / OIDC deep testing</t>
  </si>
  <si>
    <t xml:space="preserve">redirect_uri bypass, PKCE downgrade, state CSRF, scope upgrade, authorization code injection, dynamic client registration SSRF (jwks_uri, logo_uri)</t>
  </si>
  <si>
    <t xml:space="preserve">WEB-BL-022</t>
  </si>
  <si>
    <t xml:space="preserve">WSTG-ATHN-06</t>
  </si>
  <si>
    <t xml:space="preserve">MFA / OTP bypass</t>
  </si>
  <si>
    <t xml:space="preserve">Response manipulation, code reuse, brute force OTP, backup code abuse, SIM swap vector</t>
  </si>
  <si>
    <t xml:space="preserve">WEB-BL-023</t>
  </si>
  <si>
    <t xml:space="preserve">WSTG-ATHN-08</t>
  </si>
  <si>
    <t xml:space="preserve">Password reset token security</t>
  </si>
  <si>
    <t xml:space="preserve">Predictable tokens, token reuse, host header injection in reset email link</t>
  </si>
  <si>
    <t xml:space="preserve">Session Management</t>
  </si>
  <si>
    <t xml:space="preserve">WEB-BL-024</t>
  </si>
  <si>
    <t xml:space="preserve">WSTG-SESS-01</t>
  </si>
  <si>
    <t xml:space="preserve">Session</t>
  </si>
  <si>
    <t xml:space="preserve">Session token analysis</t>
  </si>
  <si>
    <t xml:space="preserve">Check entropy, predictability, length of session tokens</t>
  </si>
  <si>
    <t xml:space="preserve">WEB-BL-025</t>
  </si>
  <si>
    <t xml:space="preserve">WSTG-SESS-02</t>
  </si>
  <si>
    <t xml:space="preserve">Cookie attribute review</t>
  </si>
  <si>
    <t xml:space="preserve">Secure, HttpOnly, SameSite=Strict/Lax, Domain/Path scope</t>
  </si>
  <si>
    <t xml:space="preserve">WEB-BL-026</t>
  </si>
  <si>
    <t xml:space="preserve">WSTG-SESS-03</t>
  </si>
  <si>
    <t xml:space="preserve">Session fixation</t>
  </si>
  <si>
    <t xml:space="preserve">Pre-auth session token reuse post-login — force victim to use known token</t>
  </si>
  <si>
    <t xml:space="preserve">WEB-BL-027</t>
  </si>
  <si>
    <t xml:space="preserve">WSTG-SESS-04</t>
  </si>
  <si>
    <t xml:space="preserve">CSRF testing</t>
  </si>
  <si>
    <t xml:space="preserve">Missing/bypassable CSRF token, SameSite=None misuse, referer bypass</t>
  </si>
  <si>
    <t xml:space="preserve">WEB-BL-028</t>
  </si>
  <si>
    <t xml:space="preserve">WSTG-SESS-06</t>
  </si>
  <si>
    <t xml:space="preserve">Session invalidation on logout</t>
  </si>
  <si>
    <t xml:space="preserve">Confirm server-side session destruction, token blacklisting on logout</t>
  </si>
  <si>
    <t xml:space="preserve">WEB-BL-029</t>
  </si>
  <si>
    <t xml:space="preserve">WSTG-SESS-09</t>
  </si>
  <si>
    <t xml:space="preserve">Session timeout enforcement</t>
  </si>
  <si>
    <t xml:space="preserve">Idle timeout, absolute timeout — verify server enforces, not just client</t>
  </si>
  <si>
    <t xml:space="preserve">Authorization &amp; Access Control</t>
  </si>
  <si>
    <t xml:space="preserve">WEB-BL-030</t>
  </si>
  <si>
    <t xml:space="preserve">WSTG-ATHZ-01</t>
  </si>
  <si>
    <t xml:space="preserve">AuthZ</t>
  </si>
  <si>
    <t xml:space="preserve">Forced browsing / direct object reference</t>
  </si>
  <si>
    <t xml:space="preserve">Access restricted pages/objects without proper authorization (IDOR)</t>
  </si>
  <si>
    <t xml:space="preserve">WEB-BL-031</t>
  </si>
  <si>
    <t xml:space="preserve">WSTG-ATHZ-02</t>
  </si>
  <si>
    <t xml:space="preserve">Horizontal privilege escalation</t>
  </si>
  <si>
    <t xml:space="preserve">Access resources belonging to peer-level users by manipulating IDs</t>
  </si>
  <si>
    <t xml:space="preserve">WEB-BL-032</t>
  </si>
  <si>
    <t xml:space="preserve">WSTG-ATHZ-03</t>
  </si>
  <si>
    <t xml:space="preserve">Vertical privilege escalation</t>
  </si>
  <si>
    <t xml:space="preserve">Access admin/higher-privilege functions as a low-privilege user</t>
  </si>
  <si>
    <t xml:space="preserve">WEB-BL-033</t>
  </si>
  <si>
    <t xml:space="preserve">WSTG-ATHZ-04</t>
  </si>
  <si>
    <t xml:space="preserve">Path traversal</t>
  </si>
  <si>
    <t xml:space="preserve">../../etc/passwd in file path parameters; test encoded variants (%2F, ..%2F)</t>
  </si>
  <si>
    <t xml:space="preserve">WEB-BL-034</t>
  </si>
  <si>
    <t xml:space="preserve">API5-2023</t>
  </si>
  <si>
    <t xml:space="preserve">Broken Function Level Authorization (BFLA)</t>
  </si>
  <si>
    <t xml:space="preserve">Access admin-level API endpoints as regular user by direct call</t>
  </si>
  <si>
    <t xml:space="preserve">Injection</t>
  </si>
  <si>
    <t xml:space="preserve">WEB-BL-035</t>
  </si>
  <si>
    <t xml:space="preserve">WSTG-INPV-05</t>
  </si>
  <si>
    <t xml:space="preserve">SQL injection</t>
  </si>
  <si>
    <t xml:space="preserve">Error-based, blind boolean/time, OOB — all input fields, headers, cookies</t>
  </si>
  <si>
    <t xml:space="preserve">WEB-BL-036</t>
  </si>
  <si>
    <t xml:space="preserve">WSTG-INPV-11</t>
  </si>
  <si>
    <t xml:space="preserve">NoSQL injection</t>
  </si>
  <si>
    <t xml:space="preserve">MongoDB operator injection ($where, $gt) in JSON bodies</t>
  </si>
  <si>
    <t xml:space="preserve">WEB-BL-037</t>
  </si>
  <si>
    <t xml:space="preserve">WSTG-INPV-01</t>
  </si>
  <si>
    <t xml:space="preserve">Reflected XSS</t>
  </si>
  <si>
    <t xml:space="preserve">All user-controlled input reflected in response — test encoding bypasses</t>
  </si>
  <si>
    <t xml:space="preserve">WEB-BL-038</t>
  </si>
  <si>
    <t xml:space="preserve">WSTG-INPV-02</t>
  </si>
  <si>
    <t xml:space="preserve">Stored XSS</t>
  </si>
  <si>
    <t xml:space="preserve">Payloads persisted and rendered to other users — higher impact than reflected</t>
  </si>
  <si>
    <t xml:space="preserve">WEB-BL-039</t>
  </si>
  <si>
    <t xml:space="preserve">WSTG-INPV-15</t>
  </si>
  <si>
    <t xml:space="preserve">Server-Side Template Injection (SSTI)</t>
  </si>
  <si>
    <t xml:space="preserve">Test Jinja2 ({{7*7}}), Twig, Freemarker, ERB — can lead to RCE</t>
  </si>
  <si>
    <t xml:space="preserve">WEB-BL-040</t>
  </si>
  <si>
    <t xml:space="preserve">WSTG-INPV-12</t>
  </si>
  <si>
    <t xml:space="preserve">Command injection</t>
  </si>
  <si>
    <t xml:space="preserve">OS command injection via shell metacharacters in filenames, parameters</t>
  </si>
  <si>
    <t xml:space="preserve">WEB-BL-041</t>
  </si>
  <si>
    <t xml:space="preserve">WSTG-INPV-16</t>
  </si>
  <si>
    <t xml:space="preserve">HTTP Header injection / CRLF</t>
  </si>
  <si>
    <t xml:space="preserve">Inject CRLF sequences to split responses, set cookies, redirect</t>
  </si>
  <si>
    <t xml:space="preserve">WEB-BL-042</t>
  </si>
  <si>
    <t xml:space="preserve">WSTG-INPV-19</t>
  </si>
  <si>
    <t xml:space="preserve">XXE injection</t>
  </si>
  <si>
    <t xml:space="preserve">External entity injection in XML input — file read, SSRF, blind OOB</t>
  </si>
  <si>
    <t xml:space="preserve">SSRF</t>
  </si>
  <si>
    <t xml:space="preserve">WEB-BL-043</t>
  </si>
  <si>
    <t xml:space="preserve">WSTG-INPV-07</t>
  </si>
  <si>
    <t xml:space="preserve">Basic SSRF</t>
  </si>
  <si>
    <t xml:space="preserve">URL parameters pointing to internal services — cloud metadata (169.254.169.254)</t>
  </si>
  <si>
    <t xml:space="preserve">WEB-BL-044</t>
  </si>
  <si>
    <t xml:space="preserve">SSRF bypass variants</t>
  </si>
  <si>
    <t xml:space="preserve">IPv6 [::1], decimal IP, URL-encoded dots, DNS rebinding, redirect chains to bypass filters</t>
  </si>
  <si>
    <t xml:space="preserve">WEB-BL-045</t>
  </si>
  <si>
    <t xml:space="preserve">Protocol smuggling via SSRF</t>
  </si>
  <si>
    <t xml:space="preserve">dict://, gopher:// to reach Redis, memcached, SMTP internally</t>
  </si>
  <si>
    <t xml:space="preserve">File Upload &amp; Handling</t>
  </si>
  <si>
    <t xml:space="preserve">WEB-BL-046</t>
  </si>
  <si>
    <t xml:space="preserve">WSTG-UPLD-01</t>
  </si>
  <si>
    <t xml:space="preserve">File</t>
  </si>
  <si>
    <t xml:space="preserve">Web shell upload bypass</t>
  </si>
  <si>
    <t xml:space="preserve">MIME type manipulation, double extension, null byte, content-type bypass</t>
  </si>
  <si>
    <t xml:space="preserve">WEB-BL-047</t>
  </si>
  <si>
    <t xml:space="preserve">WSTG-UPLD-02</t>
  </si>
  <si>
    <t xml:space="preserve">Malicious file type upload</t>
  </si>
  <si>
    <t xml:space="preserve">SVG XSS, HTML SSRF, polyglot files — check server-side validation depth</t>
  </si>
  <si>
    <t xml:space="preserve">WEB-BL-048</t>
  </si>
  <si>
    <t xml:space="preserve">Path traversal in download</t>
  </si>
  <si>
    <t xml:space="preserve">Filename or path parameter manipulation — ../../etc/passwd, zip slip</t>
  </si>
  <si>
    <t xml:space="preserve">Business Logic</t>
  </si>
  <si>
    <t xml:space="preserve">WEB-BL-049</t>
  </si>
  <si>
    <t xml:space="preserve">WSTG-BUSL-01</t>
  </si>
  <si>
    <t xml:space="preserve">Logic</t>
  </si>
  <si>
    <t xml:space="preserve">Race conditions</t>
  </si>
  <si>
    <t xml:space="preserve">Concurrent requests on limit-once operations — coupon use, refund, account creation</t>
  </si>
  <si>
    <t xml:space="preserve">WEB-BL-050</t>
  </si>
  <si>
    <t xml:space="preserve">WSTG-BUSL-02</t>
  </si>
  <si>
    <t xml:space="preserve">Negative / zero value inputs</t>
  </si>
  <si>
    <t xml:space="preserve">Negative price, zero quantity in payment/transaction flows</t>
  </si>
  <si>
    <t xml:space="preserve">WEB-BL-051</t>
  </si>
  <si>
    <t xml:space="preserve">WSTG-BUSL-09</t>
  </si>
  <si>
    <t xml:space="preserve">Workflow / step bypass</t>
  </si>
  <si>
    <t xml:space="preserve">Skip payment step, confirmation step — manipulate sequence via direct requests</t>
  </si>
  <si>
    <t xml:space="preserve">API Security</t>
  </si>
  <si>
    <t xml:space="preserve">WEB-BL-052</t>
  </si>
  <si>
    <t xml:space="preserve">API1-2023</t>
  </si>
  <si>
    <t xml:space="preserve">API</t>
  </si>
  <si>
    <t xml:space="preserve">BOLA — broken object level authorization</t>
  </si>
  <si>
    <t xml:space="preserve">Manipulate object IDs in API paths/params to access other users' resources</t>
  </si>
  <si>
    <t xml:space="preserve">WEB-BL-053</t>
  </si>
  <si>
    <t xml:space="preserve">API3-2023</t>
  </si>
  <si>
    <t xml:space="preserve">Mass assignment / excessive data exposure</t>
  </si>
  <si>
    <t xml:space="preserve">POST/PUT with extra fields — check if they're written; check response for over-exposed fields</t>
  </si>
  <si>
    <t xml:space="preserve">WEB-BL-054</t>
  </si>
  <si>
    <t xml:space="preserve">API9-2023</t>
  </si>
  <si>
    <t xml:space="preserve">Improper inventory — hidden API versions</t>
  </si>
  <si>
    <t xml:space="preserve">Try /v1/, /v2/, /api/v0/, /internal/, /admin/ — older versions often lack new auth controls</t>
  </si>
  <si>
    <t xml:space="preserve">WEB-BL-055</t>
  </si>
  <si>
    <t xml:space="preserve">API8-2023</t>
  </si>
  <si>
    <t xml:space="preserve">API security misconfiguration</t>
  </si>
  <si>
    <t xml:space="preserve">Swagger/OpenAPI portal exposed, debug mode, stack traces, default credentials on API gateway</t>
  </si>
  <si>
    <t xml:space="preserve">WEB-BL-056</t>
  </si>
  <si>
    <t xml:space="preserve">API4-2023</t>
  </si>
  <si>
    <t xml:space="preserve">Unrestricted resource consumption</t>
  </si>
  <si>
    <t xml:space="preserve">No rate limiting on expensive API operations — batch requests, large payloads</t>
  </si>
  <si>
    <t xml:space="preserve">WEB-BL-057</t>
  </si>
  <si>
    <t xml:space="preserve">GraphQL — introspection &amp; enumeration</t>
  </si>
  <si>
    <t xml:space="preserve">Enable introspection to dump schema, find hidden mutations/queries</t>
  </si>
  <si>
    <t xml:space="preserve">WEB-BL-058</t>
  </si>
  <si>
    <t xml:space="preserve">GraphQL — query depth / batching DoS</t>
  </si>
  <si>
    <t xml:space="preserve">Deeply nested queries, alias-based brute force, batch mutation abuse</t>
  </si>
  <si>
    <t xml:space="preserve">WEB-BL-059</t>
  </si>
  <si>
    <t xml:space="preserve">GraphQL — IDOR via nested queries</t>
  </si>
  <si>
    <t xml:space="preserve">Access related objects through nested query chains bypassing direct auth checks</t>
  </si>
  <si>
    <t xml:space="preserve">WEB-BL-060</t>
  </si>
  <si>
    <t xml:space="preserve">WSTG-SESS-07</t>
  </si>
  <si>
    <t xml:space="preserve">WebSocket — auth bypass &amp; injection</t>
  </si>
  <si>
    <t xml:space="preserve">Connect without valid session, inject payloads, cross-site WebSocket hijacking (CSWSH)</t>
  </si>
  <si>
    <t xml:space="preserve">WEB-BL-061</t>
  </si>
  <si>
    <t xml:space="preserve">API10-2023</t>
  </si>
  <si>
    <t xml:space="preserve">Unsafe third-party API consumption</t>
  </si>
  <si>
    <t xml:space="preserve">Does app blindly trust 3rd-party API data without validation? SSRF via webhook URL</t>
  </si>
  <si>
    <t xml:space="preserve">Client-Side &amp; Modern Technologies</t>
  </si>
  <si>
    <t xml:space="preserve">WEB-BL-062</t>
  </si>
  <si>
    <t xml:space="preserve">WSTG-CLNT-01</t>
  </si>
  <si>
    <t xml:space="preserve">Client</t>
  </si>
  <si>
    <t xml:space="preserve">DOM-based XSS</t>
  </si>
  <si>
    <t xml:space="preserve">Track user-controlled data flow into dangerous sinks (innerHTML, eval, document.write)</t>
  </si>
  <si>
    <t xml:space="preserve">WEB-BL-063</t>
  </si>
  <si>
    <t xml:space="preserve">WSTG-CLNT-09</t>
  </si>
  <si>
    <t xml:space="preserve">Clickjacking</t>
  </si>
  <si>
    <t xml:space="preserve">X-Frame-Options / CSP frame-ancestors missing — frame the app to trick clicks</t>
  </si>
  <si>
    <t xml:space="preserve">WEB-BL-064</t>
  </si>
  <si>
    <t xml:space="preserve">WSTG-CLNT-10</t>
  </si>
  <si>
    <t xml:space="preserve">Web cache deception / poisoning</t>
  </si>
  <si>
    <t xml:space="preserve">Path confusion (app.com/account/style.css), unkeyed header poisoning (X-Forwarded-Host)</t>
  </si>
  <si>
    <t xml:space="preserve">WEB-BL-065</t>
  </si>
  <si>
    <t xml:space="preserve">WSTG-INPV-18</t>
  </si>
  <si>
    <t xml:space="preserve">LLM / AI prompt injection</t>
  </si>
  <si>
    <t xml:space="preserve">User-controlled input passed to AI features — inject instructions to alter AI behavior or exfil data</t>
  </si>
  <si>
    <t xml:space="preserve">Infrastructure</t>
  </si>
  <si>
    <t xml:space="preserve">WEB-BL-066</t>
  </si>
  <si>
    <t xml:space="preserve">WSTG-CONF-08</t>
  </si>
  <si>
    <t xml:space="preserve">Infra</t>
  </si>
  <si>
    <t xml:space="preserve">Open redirect</t>
  </si>
  <si>
    <t xml:space="preserve">URL redirect parameters accepting arbitrary destinations — phishing, OAuth token theft</t>
  </si>
  <si>
    <t xml:space="preserve">WEB-BL-067</t>
  </si>
  <si>
    <t xml:space="preserve">Known vulnerability scan</t>
  </si>
  <si>
    <t xml:space="preserve">Nuclei, Nikto — check CVEs for identified web server, framework versions</t>
  </si>
  <si>
    <t xml:space="preserve">WEB-BL-068</t>
  </si>
  <si>
    <t xml:space="preserve">WSTG-CONF-09</t>
  </si>
  <si>
    <t xml:space="preserve">HTTP Request Smuggling — TE.CL / CL.TE</t>
  </si>
  <si>
    <t xml:space="preserve">Burp HTTP Request Smuggler — desync to poison cache, bypass front-end auth, deliver XSS</t>
  </si>
  <si>
    <t xml:space="preserve">Feature</t>
  </si>
  <si>
    <t xml:space="preserve">Feature Present?</t>
  </si>
  <si>
    <t xml:space="preserve">Account &amp; Authentication</t>
  </si>
  <si>
    <t xml:space="preserve">WEB-CT-001</t>
  </si>
  <si>
    <t xml:space="preserve">Login</t>
  </si>
  <si>
    <t xml:space="preserve">Injection in login fields</t>
  </si>
  <si>
    <t xml:space="preserve">SQLi, NoSQLi in username/password fields — error-based and blind</t>
  </si>
  <si>
    <t xml:space="preserve">—</t>
  </si>
  <si>
    <t xml:space="preserve">Scoped</t>
  </si>
  <si>
    <t xml:space="preserve">WEB-CT-002</t>
  </si>
  <si>
    <t xml:space="preserve">Auth bypass — HTTP verb &amp; method</t>
  </si>
  <si>
    <t xml:space="preserve">Swap GET↔POST, use X-HTTP-Method-Override header to bypass auth checks</t>
  </si>
  <si>
    <t xml:space="preserve">WEB-CT-003</t>
  </si>
  <si>
    <t xml:space="preserve">Rate limit &amp; lockout misconfiguration</t>
  </si>
  <si>
    <t xml:space="preserve">Verify lockout triggers, check X-Forwarded-For bypass of rate limit</t>
  </si>
  <si>
    <t xml:space="preserve">WEB-CT-004</t>
  </si>
  <si>
    <t xml:space="preserve">Response manipulation (change 403→200), code brute force, reuse of used OTP</t>
  </si>
  <si>
    <t xml:space="preserve">WEB-CT-005</t>
  </si>
  <si>
    <t xml:space="preserve">Account enumeration via timing/response</t>
  </si>
  <si>
    <t xml:space="preserve">Compare server response time and body for valid vs invalid usernames</t>
  </si>
  <si>
    <t xml:space="preserve">WEB-CT-006</t>
  </si>
  <si>
    <t xml:space="preserve">Registration</t>
  </si>
  <si>
    <t xml:space="preserve">Race condition on account creation</t>
  </si>
  <si>
    <t xml:space="preserve">Concurrent signup requests with same email — duplicate account or credit bonus</t>
  </si>
  <si>
    <t xml:space="preserve">WEB-CT-007</t>
  </si>
  <si>
    <t xml:space="preserve">Email parameter manipulation</t>
  </si>
  <si>
    <t xml:space="preserve">Add second email via %20, comma, CC param — attacker receives verification link</t>
  </si>
  <si>
    <t xml:space="preserve">WEB-CT-008</t>
  </si>
  <si>
    <t xml:space="preserve">WSTG-BUSL-07</t>
  </si>
  <si>
    <t xml:space="preserve">Referral / invite code abuse</t>
  </si>
  <si>
    <t xml:space="preserve">Reuse expired codes, self-referral, negative credit manipulation</t>
  </si>
  <si>
    <t xml:space="preserve">WEB-CT-009</t>
  </si>
  <si>
    <t xml:space="preserve">Password Reset</t>
  </si>
  <si>
    <t xml:space="preserve">Token predictability &amp; reuse</t>
  </si>
  <si>
    <t xml:space="preserve">Check entropy of reset tokens, test reuse after use, test expiry enforcement</t>
  </si>
  <si>
    <t xml:space="preserve">WEB-CT-010</t>
  </si>
  <si>
    <t xml:space="preserve">Race condition on token consumption</t>
  </si>
  <si>
    <t xml:space="preserve">Send concurrent reset requests — can two sessions use the same token?</t>
  </si>
  <si>
    <t xml:space="preserve">WEB-CT-011</t>
  </si>
  <si>
    <t xml:space="preserve">WSTG-ATHN-07</t>
  </si>
  <si>
    <t xml:space="preserve">Host header injection in reset link</t>
  </si>
  <si>
    <t xml:space="preserve">Inject attacker host in Host header — reset link points to attacker domain</t>
  </si>
  <si>
    <t xml:space="preserve">WEB-CT-012</t>
  </si>
  <si>
    <t xml:space="preserve">Password Change</t>
  </si>
  <si>
    <t xml:space="preserve">Change without old password verification</t>
  </si>
  <si>
    <t xml:space="preserve">CSRF or direct API call to change password without providing current password</t>
  </si>
  <si>
    <t xml:space="preserve">WEB-CT-013</t>
  </si>
  <si>
    <t xml:space="preserve">Cross-user password change (IDOR)</t>
  </si>
  <si>
    <t xml:space="preserve">Manipulate user_id or account param to change another user's password</t>
  </si>
  <si>
    <t xml:space="preserve">WEB-CT-014</t>
  </si>
  <si>
    <t xml:space="preserve">Profile</t>
  </si>
  <si>
    <t xml:space="preserve">Unauthorized profile read (IDOR)</t>
  </si>
  <si>
    <t xml:space="preserve">Access other users' profile data by manipulating ID in request</t>
  </si>
  <si>
    <t xml:space="preserve">WEB-CT-015</t>
  </si>
  <si>
    <t xml:space="preserve">Unauthorized profile modification</t>
  </si>
  <si>
    <t xml:space="preserve">Modify another user's profile fields via IDOR on update endpoint</t>
  </si>
  <si>
    <t xml:space="preserve">WEB-CT-016</t>
  </si>
  <si>
    <t xml:space="preserve">Stored XSS in profile fields</t>
  </si>
  <si>
    <t xml:space="preserve">Inject XSS in display name, bio, address — fires when admin or other user views profile</t>
  </si>
  <si>
    <t xml:space="preserve">WEB-CT-017</t>
  </si>
  <si>
    <t xml:space="preserve">Session alive after logout</t>
  </si>
  <si>
    <t xml:space="preserve">Replay captured session token after logout — server must invalidate server-side</t>
  </si>
  <si>
    <t xml:space="preserve">WEB-CT-018</t>
  </si>
  <si>
    <t xml:space="preserve">Injection in session-related headers</t>
  </si>
  <si>
    <t xml:space="preserve">X-Forwarded-For, User-Agent, Referer — injected into logs or DB queries</t>
  </si>
  <si>
    <t xml:space="preserve">WEB-CT-019</t>
  </si>
  <si>
    <t xml:space="preserve">Set Language</t>
  </si>
  <si>
    <t xml:space="preserve">LFI via language parameter</t>
  </si>
  <si>
    <t xml:space="preserve">lang=../../../../etc/passwd — test path traversal in locale/language params</t>
  </si>
  <si>
    <t xml:space="preserve">WEB-CT-020</t>
  </si>
  <si>
    <t xml:space="preserve">Injection in locale setting</t>
  </si>
  <si>
    <t xml:space="preserve">Inject special chars in language/timezone params — backend processing</t>
  </si>
  <si>
    <t xml:space="preserve">Store / Vendor / Tenant Management</t>
  </si>
  <si>
    <t xml:space="preserve">WEB-CT-021</t>
  </si>
  <si>
    <t xml:space="preserve">Vendor Profile</t>
  </si>
  <si>
    <t xml:space="preserve">Cross-vendor data access (IDOR)</t>
  </si>
  <si>
    <t xml:space="preserve">Access or read another vendor's store profile by manipulating vendor_id</t>
  </si>
  <si>
    <t xml:space="preserve">WEB-CT-022</t>
  </si>
  <si>
    <t xml:space="preserve">Low-privilege vendor modification</t>
  </si>
  <si>
    <t xml:space="preserve">Use staff/employee role to modify top-level vendor settings</t>
  </si>
  <si>
    <t xml:space="preserve">WEB-CT-023</t>
  </si>
  <si>
    <t xml:space="preserve">Unrestricted file upload in profile</t>
  </si>
  <si>
    <t xml:space="preserve">Upload web shell or malicious file via vendor logo/document upload</t>
  </si>
  <si>
    <t xml:space="preserve">WEB-CT-024</t>
  </si>
  <si>
    <t xml:space="preserve">LFI in file path parameters</t>
  </si>
  <si>
    <t xml:space="preserve">Vendor document/image path parameters — test for local file inclusion</t>
  </si>
  <si>
    <t xml:space="preserve">WEB-CT-025</t>
  </si>
  <si>
    <t xml:space="preserve">Branches</t>
  </si>
  <si>
    <t xml:space="preserve">Cross-vendor branch manipulation</t>
  </si>
  <si>
    <t xml:space="preserve">Add/edit/delete branches belonging to another vendor via IDOR on branch_id</t>
  </si>
  <si>
    <t xml:space="preserve">WEB-CT-026</t>
  </si>
  <si>
    <t xml:space="preserve">Categories</t>
  </si>
  <si>
    <t xml:space="preserve">Cross-vendor category manipulation</t>
  </si>
  <si>
    <t xml:space="preserve">Modify categories belonging to different vendor — check tenant isolation</t>
  </si>
  <si>
    <t xml:space="preserve">WEB-CT-027</t>
  </si>
  <si>
    <t xml:space="preserve">Users (Mgmt)</t>
  </si>
  <si>
    <t xml:space="preserve">Unauthorized user creation/deletion</t>
  </si>
  <si>
    <t xml:space="preserve">Create or delete users under another vendor's account via BFLA</t>
  </si>
  <si>
    <t xml:space="preserve">WEB-CT-028</t>
  </si>
  <si>
    <t xml:space="preserve">Privilege escalation in user creation</t>
  </si>
  <si>
    <t xml:space="preserve">Create a user with higher role than your own by tampering role param</t>
  </si>
  <si>
    <t xml:space="preserve">Transaction &amp; Payment</t>
  </si>
  <si>
    <t xml:space="preserve">WEB-CT-029</t>
  </si>
  <si>
    <t xml:space="preserve">Transaction</t>
  </si>
  <si>
    <t xml:space="preserve">Cross-tenant transaction access</t>
  </si>
  <si>
    <t xml:space="preserve">Access or refund transactions belonging to another vendor/user via IDOR</t>
  </si>
  <si>
    <t xml:space="preserve">WEB-CT-030</t>
  </si>
  <si>
    <t xml:space="preserve">Race condition on refund</t>
  </si>
  <si>
    <t xml:space="preserve">Concurrent refund requests — trigger double refund via timing window</t>
  </si>
  <si>
    <t xml:space="preserve">WEB-CT-031</t>
  </si>
  <si>
    <t xml:space="preserve">Negative / zero value in payment</t>
  </si>
  <si>
    <t xml:space="preserve">Submit negative amount — does it result in credit? Zero price bypass?</t>
  </si>
  <si>
    <t xml:space="preserve">WEB-CT-032</t>
  </si>
  <si>
    <t xml:space="preserve">Price parameter manipulation</t>
  </si>
  <si>
    <t xml:space="preserve">Intercept and modify price/amount in request body before server processes</t>
  </si>
  <si>
    <t xml:space="preserve">WEB-CT-033</t>
  </si>
  <si>
    <t xml:space="preserve">Currency manipulation</t>
  </si>
  <si>
    <t xml:space="preserve">Switch to weaker currency, manipulate currency code — pricing arbitrage</t>
  </si>
  <si>
    <t xml:space="preserve">WEB-CT-034</t>
  </si>
  <si>
    <t xml:space="preserve">Payment step bypass</t>
  </si>
  <si>
    <t xml:space="preserve">Skip payment confirmation step by directly calling post-payment endpoint</t>
  </si>
  <si>
    <t xml:space="preserve">WEB-CT-035</t>
  </si>
  <si>
    <t xml:space="preserve">Replay / duplicate payment</t>
  </si>
  <si>
    <t xml:space="preserve">Replay payment confirmation request — does server check idempotency?</t>
  </si>
  <si>
    <t xml:space="preserve">WEB-CT-036</t>
  </si>
  <si>
    <t xml:space="preserve">Injection in payment reference fields</t>
  </si>
  <si>
    <t xml:space="preserve">SQLi/XSS in payment note, reference, description fields</t>
  </si>
  <si>
    <t xml:space="preserve">WEB-CT-037</t>
  </si>
  <si>
    <t xml:space="preserve">QR / KHQR</t>
  </si>
  <si>
    <t xml:space="preserve">Injection in QR/PDF generation</t>
  </si>
  <si>
    <t xml:space="preserve">SSTI or command injection via user-controlled data rendered into QR/PDF</t>
  </si>
  <si>
    <t xml:space="preserve">WEB-CT-038</t>
  </si>
  <si>
    <t xml:space="preserve">QR payment bypass from mini-app</t>
  </si>
  <si>
    <t xml:space="preserve">Manipulate KHQR payload amount or recipient — bypass payment validation</t>
  </si>
  <si>
    <t xml:space="preserve">WEB-CT-039</t>
  </si>
  <si>
    <t xml:space="preserve">Coupon / Promo</t>
  </si>
  <si>
    <t xml:space="preserve">Coupon stacking race condition</t>
  </si>
  <si>
    <t xml:space="preserve">Apply same coupon concurrently from multiple tabs/requests</t>
  </si>
  <si>
    <t xml:space="preserve">WEB-CT-040</t>
  </si>
  <si>
    <t xml:space="preserve">Unauthorized coupon code access</t>
  </si>
  <si>
    <t xml:space="preserve">Access coupon list or codes belonging to another vendor via IDOR</t>
  </si>
  <si>
    <t xml:space="preserve">WEB-CT-041</t>
  </si>
  <si>
    <t xml:space="preserve">Coupon price manipulation</t>
  </si>
  <si>
    <t xml:space="preserve">Intercept discount value in request — modify to 100% or negative</t>
  </si>
  <si>
    <t xml:space="preserve">File Upload &amp; Document Features</t>
  </si>
  <si>
    <t xml:space="preserve">WEB-CT-042</t>
  </si>
  <si>
    <t xml:space="preserve">File Upload</t>
  </si>
  <si>
    <t xml:space="preserve">MIME type swap, double extension (.php.jpg), null byte, content-type bypass</t>
  </si>
  <si>
    <t xml:space="preserve">WEB-CT-043</t>
  </si>
  <si>
    <t xml:space="preserve">XSS in uploaded filename</t>
  </si>
  <si>
    <t xml:space="preserve">Filename like &lt;img src=x onerror=alert(1)&gt;.jpg rendered in UI</t>
  </si>
  <si>
    <t xml:space="preserve">WEB-CT-044</t>
  </si>
  <si>
    <t xml:space="preserve">Command execution in filename</t>
  </si>
  <si>
    <t xml:space="preserve">Shell metacharacters in filename processed server-side (e.g., image processing)</t>
  </si>
  <si>
    <t xml:space="preserve">WEB-CT-045</t>
  </si>
  <si>
    <t xml:space="preserve">HTML injection in email via filename</t>
  </si>
  <si>
    <t xml:space="preserve">HTML in filename ends up in email notification — phishing vector</t>
  </si>
  <si>
    <t xml:space="preserve">WEB-CT-046</t>
  </si>
  <si>
    <t xml:space="preserve">XSS via SVG upload</t>
  </si>
  <si>
    <t xml:space="preserve">SVG files can contain embedded JS — if rendered in browser context</t>
  </si>
  <si>
    <t xml:space="preserve">WEB-CT-047</t>
  </si>
  <si>
    <t xml:space="preserve">PDF content XSS / SSRF</t>
  </si>
  <si>
    <t xml:space="preserve">SSRF or XSS embedded in uploaded PDF processed server-side</t>
  </si>
  <si>
    <t xml:space="preserve">WEB-CT-048</t>
  </si>
  <si>
    <t xml:space="preserve">Client-side bypass via response manip</t>
  </si>
  <si>
    <t xml:space="preserve">Server returns allow/deny in response body — flip to bypass client-side file type check</t>
  </si>
  <si>
    <t xml:space="preserve">WEB-CT-049</t>
  </si>
  <si>
    <t xml:space="preserve">File Download</t>
  </si>
  <si>
    <t xml:space="preserve">Path traversal in download endpoint</t>
  </si>
  <si>
    <t xml:space="preserve">Manipulate file path param — ../../ to read arbitrary files</t>
  </si>
  <si>
    <t xml:space="preserve">WEB-CT-050</t>
  </si>
  <si>
    <t xml:space="preserve">IDOR in document retrieval</t>
  </si>
  <si>
    <t xml:space="preserve">Change document_id or file_id to access other users' documents</t>
  </si>
  <si>
    <t xml:space="preserve">Admin &amp; Announcement Features</t>
  </si>
  <si>
    <t xml:space="preserve">WEB-CT-051</t>
  </si>
  <si>
    <t xml:space="preserve">Announcement</t>
  </si>
  <si>
    <t xml:space="preserve">Parameter/header injection in listing</t>
  </si>
  <si>
    <t xml:space="preserve">Inject into filter/sort params — SQLi, SSTI, header injection</t>
  </si>
  <si>
    <t xml:space="preserve">WEB-CT-052</t>
  </si>
  <si>
    <t xml:space="preserve">Stored XSS in admin-created content</t>
  </si>
  <si>
    <t xml:space="preserve">Admin-authored content rendered to all users — stored XSS fires broadly</t>
  </si>
  <si>
    <t xml:space="preserve">WEB-CT-053</t>
  </si>
  <si>
    <t xml:space="preserve">Admin</t>
  </si>
  <si>
    <t xml:space="preserve">Admin function access by normal user</t>
  </si>
  <si>
    <t xml:space="preserve">Direct call to admin API endpoint — BFLA bypass without admin role</t>
  </si>
  <si>
    <t xml:space="preserve">WEB-CT-054</t>
  </si>
  <si>
    <t xml:space="preserve">User reset enumeration &amp; token reuse</t>
  </si>
  <si>
    <t xml:space="preserve">Admin user-reset token — check expiry, reuse, enumeration via timing</t>
  </si>
  <si>
    <t xml:space="preserve">Search &amp; Filtering</t>
  </si>
  <si>
    <t xml:space="preserve">WEB-CT-055</t>
  </si>
  <si>
    <t xml:space="preserve">Search</t>
  </si>
  <si>
    <t xml:space="preserve">SQLi / NoSQLi in search query</t>
  </si>
  <si>
    <t xml:space="preserve">Test search endpoint for injection — error-based, blind, time-based</t>
  </si>
  <si>
    <t xml:space="preserve">WEB-CT-056</t>
  </si>
  <si>
    <t xml:space="preserve">SSTI in search / template rendering</t>
  </si>
  <si>
    <t xml:space="preserve">Test {{7*7}} and similar payloads if search term is rendered in template context</t>
  </si>
  <si>
    <t xml:space="preserve">WEB-CT-057</t>
  </si>
  <si>
    <t xml:space="preserve">Reflected XSS in search results</t>
  </si>
  <si>
    <t xml:space="preserve">Search term echoed unescaped in results page</t>
  </si>
  <si>
    <t xml:space="preserve">WEB-CT-058</t>
  </si>
  <si>
    <t xml:space="preserve">WSTG-ERRH-02</t>
  </si>
  <si>
    <t xml:space="preserve">Information disclosure via search error</t>
  </si>
  <si>
    <t xml:space="preserve">Verbose error on invalid search — DB table names, stack trace</t>
  </si>
  <si>
    <t xml:space="preserve">API &amp; Integration Features</t>
  </si>
  <si>
    <t xml:space="preserve">WEB-CT-059</t>
  </si>
  <si>
    <t xml:space="preserve">API7-2023</t>
  </si>
  <si>
    <t xml:space="preserve">API / Webhook</t>
  </si>
  <si>
    <t xml:space="preserve">SSRF via webhook URL</t>
  </si>
  <si>
    <t xml:space="preserve">User-controlled URL in webhook config — redirect to internal metadata or services</t>
  </si>
  <si>
    <t xml:space="preserve">WEB-CT-060</t>
  </si>
  <si>
    <t xml:space="preserve">Mass assignment on API resource</t>
  </si>
  <si>
    <t xml:space="preserve">POST hidden fields (role, is_admin, credit) — does server accept and write them?</t>
  </si>
  <si>
    <t xml:space="preserve">WEB-CT-061</t>
  </si>
  <si>
    <t xml:space="preserve">Outdated / shadow API version access</t>
  </si>
  <si>
    <t xml:space="preserve">Access /v1/ endpoints with deprecated auth — weaker controls than current version</t>
  </si>
  <si>
    <t xml:space="preserve">WEB-CT-062</t>
  </si>
  <si>
    <t xml:space="preserve">Email / Notify</t>
  </si>
  <si>
    <t xml:space="preserve">HTML injection in email templates</t>
  </si>
  <si>
    <t xml:space="preserve">User-controlled content in email — inject HTML to create phishing template</t>
  </si>
  <si>
    <t xml:space="preserve">WEB-CT-063</t>
  </si>
  <si>
    <t xml:space="preserve">Email header injection</t>
  </si>
  <si>
    <t xml:space="preserve">Inject CRLF in To/From/Subject fields to add BCC, redirect emails</t>
  </si>
  <si>
    <t xml:space="preserve">Environment Setup &amp; App Acquisition</t>
  </si>
  <si>
    <t xml:space="preserve">MOB-BL-001</t>
  </si>
  <si>
    <t xml:space="preserve">MASTG-TECH-0002</t>
  </si>
  <si>
    <t xml:space="preserve">Setup</t>
  </si>
  <si>
    <t xml:space="preserve">APK acquisition &amp; integrity check</t>
  </si>
  <si>
    <t xml:space="preserve">adb pull or APKPure — verify package signature, check for split APKs, use APKEditor to merge</t>
  </si>
  <si>
    <t xml:space="preserve">MOB-BL-002</t>
  </si>
  <si>
    <t xml:space="preserve">MASTG-TECH-0012</t>
  </si>
  <si>
    <t xml:space="preserve">Root setup — emulator (rootAVD)</t>
  </si>
  <si>
    <t xml:space="preserve">rootAVD for AVD root; Magisk + AlwaysTrustUserCerts module for system cert install</t>
  </si>
  <si>
    <t xml:space="preserve">MOB-BL-003</t>
  </si>
  <si>
    <t xml:space="preserve">MASTG-TECH-0011</t>
  </si>
  <si>
    <t xml:space="preserve">Burp certificate install (system store)</t>
  </si>
  <si>
    <t xml:space="preserve">AlwaysTrustUserCerts Magisk module or manual push to /system/etc/security/cacerts/</t>
  </si>
  <si>
    <t xml:space="preserve">MOB-BL-004</t>
  </si>
  <si>
    <t xml:space="preserve">Proxy setup via ADB</t>
  </si>
  <si>
    <t xml:space="preserve">adb shell settings put global http_proxy &lt;IP&gt;:8080 — note: does not work for Flutter</t>
  </si>
  <si>
    <t xml:space="preserve">MOB-BL-005</t>
  </si>
  <si>
    <t xml:space="preserve">SSL pinning bypass — Objection / Frida</t>
  </si>
  <si>
    <t xml:space="preserve">objection: android sslpinning disable; Frida: akabe1/frida-multiple-unpinning; Reflutter for Flutter apps</t>
  </si>
  <si>
    <t xml:space="preserve">MOB-BL-006</t>
  </si>
  <si>
    <t xml:space="preserve">Root detection bypass</t>
  </si>
  <si>
    <t xml:space="preserve">Magisk allowlist, Magisk Alpha, Frida hook targeting root detection logic</t>
  </si>
  <si>
    <t xml:space="preserve">MOB-BL-007</t>
  </si>
  <si>
    <t xml:space="preserve">MASTG-TECH-0003</t>
  </si>
  <si>
    <t xml:space="preserve">Flutter-specific proxy setup</t>
  </si>
  <si>
    <t xml:space="preserve">iptables DNAT for port 80/443 to Burp — Flutter ignores system proxy; or use Reflutter repack</t>
  </si>
  <si>
    <t xml:space="preserve">Static Analysis</t>
  </si>
  <si>
    <t xml:space="preserve">MOB-BL-008</t>
  </si>
  <si>
    <t xml:space="preserve">MASTG-TEST-0001</t>
  </si>
  <si>
    <t xml:space="preserve">Static</t>
  </si>
  <si>
    <t xml:space="preserve">AndroidManifest.xml review</t>
  </si>
  <si>
    <t xml:space="preserve">Check debuggable, allowBackup, usesCleartextTraffic, exported components, declared permissions</t>
  </si>
  <si>
    <t xml:space="preserve">MOB-BL-009</t>
  </si>
  <si>
    <t xml:space="preserve">MASTG-TEST-0002</t>
  </si>
  <si>
    <t xml:space="preserve">Exported component enumeration</t>
  </si>
  <si>
    <t xml:space="preserve">Exported activities/services/receivers with intent-filter — direct invocation via ADB to bypass auth</t>
  </si>
  <si>
    <t xml:space="preserve">MOB-BL-010</t>
  </si>
  <si>
    <t xml:space="preserve">MASTG-TEST-0003</t>
  </si>
  <si>
    <t xml:space="preserve">Hardcoded secrets in source</t>
  </si>
  <si>
    <t xml:space="preserve">Jadx decompile — search for API keys, tokens, DB credentials, internal URLs in strings.xml and code</t>
  </si>
  <si>
    <t xml:space="preserve">MOB-BL-011</t>
  </si>
  <si>
    <t xml:space="preserve">Flutter reverse engineering (Blutter)</t>
  </si>
  <si>
    <t xml:space="preserve">blutter.py on arm64-v8a/libapp.so — extract Dart snapshot, generate Frida hook scripts from function offsets</t>
  </si>
  <si>
    <t xml:space="preserve">MOB-BL-012</t>
  </si>
  <si>
    <t xml:space="preserve">React Native bundle extraction</t>
  </si>
  <si>
    <t xml:space="preserve">Extract and review index.android.bundle — JS source often contains API keys, endpoint URLs</t>
  </si>
  <si>
    <t xml:space="preserve">MOB-BL-013</t>
  </si>
  <si>
    <t xml:space="preserve">MASTG-TEST-0004</t>
  </si>
  <si>
    <t xml:space="preserve">Deep link enumeration</t>
  </si>
  <si>
    <t xml:space="preserve">adb shell dumpsys package — find all registered scheme:// handlers; check for unsanitized params</t>
  </si>
  <si>
    <t xml:space="preserve">MASVS-STORAGE: Data Storage</t>
  </si>
  <si>
    <t xml:space="preserve">MOB-BL-014</t>
  </si>
  <si>
    <t xml:space="preserve">MASVS-STORAGE-1</t>
  </si>
  <si>
    <t xml:space="preserve">Storage</t>
  </si>
  <si>
    <t xml:space="preserve">Sensitive data in SharedPreferences</t>
  </si>
  <si>
    <t xml:space="preserve">Pull /data/data/&lt;pkg&gt;/shared_prefs/ — check for tokens, passwords, PII stored in plaintext</t>
  </si>
  <si>
    <t xml:space="preserve">MOB-BL-015</t>
  </si>
  <si>
    <t xml:space="preserve">Sensitive data in SQLite databases</t>
  </si>
  <si>
    <t xml:space="preserve">Pull /data/data/&lt;pkg&gt;/databases/ — inspect tables for sensitive fields</t>
  </si>
  <si>
    <t xml:space="preserve">MOB-BL-016</t>
  </si>
  <si>
    <t xml:space="preserve">External storage data leakage</t>
  </si>
  <si>
    <t xml:space="preserve">Check /sdcard/ for app-written sensitive files — world-readable by other apps</t>
  </si>
  <si>
    <t xml:space="preserve">MOB-BL-017</t>
  </si>
  <si>
    <t xml:space="preserve">Logcat data leakage</t>
  </si>
  <si>
    <t xml:space="preserve">adb logcat — check for credentials, tokens, PII logged during app operation</t>
  </si>
  <si>
    <t xml:space="preserve">MOB-BL-018</t>
  </si>
  <si>
    <t xml:space="preserve">MASVS-STORAGE-2</t>
  </si>
  <si>
    <t xml:space="preserve">Sensitive data in backups</t>
  </si>
  <si>
    <t xml:space="preserve">adb backup -apk -shared &lt;pkg&gt; — check if backup is allowed and what data is exposed</t>
  </si>
  <si>
    <t xml:space="preserve">MOB-BL-019</t>
  </si>
  <si>
    <t xml:space="preserve">Memory dump for sensitive data</t>
  </si>
  <si>
    <t xml:space="preserve">Process Hacker / Fridump — dump runtime memory, search for tokens/passwords/keys in memory</t>
  </si>
  <si>
    <t xml:space="preserve">MASVS-CRYPTO: Cryptography</t>
  </si>
  <si>
    <t xml:space="preserve">MOB-BL-020</t>
  </si>
  <si>
    <t xml:space="preserve">MASVS-CRYPTO-1</t>
  </si>
  <si>
    <t xml:space="preserve">Crypto</t>
  </si>
  <si>
    <t xml:space="preserve">Weak or custom encryption</t>
  </si>
  <si>
    <t xml:space="preserve">Jadx — identify use of MD5, SHA1, ECB mode, custom crypto — flag for weak algorithm</t>
  </si>
  <si>
    <t xml:space="preserve">MOB-BL-021</t>
  </si>
  <si>
    <t xml:space="preserve">MASVS-CRYPTO-2</t>
  </si>
  <si>
    <t xml:space="preserve">Hardcoded crypto keys</t>
  </si>
  <si>
    <t xml:space="preserve">Search for static IV, hardcoded AES/RSA keys in decompiled source</t>
  </si>
  <si>
    <t xml:space="preserve">MASVS-AUTH: Authentication</t>
  </si>
  <si>
    <t xml:space="preserve">MOB-BL-022</t>
  </si>
  <si>
    <t xml:space="preserve">MASVS-AUTH-1</t>
  </si>
  <si>
    <t xml:space="preserve">Auth</t>
  </si>
  <si>
    <t xml:space="preserve">Biometric bypass via Frida</t>
  </si>
  <si>
    <t xml:space="preserve">Hook setBiometricAuthenticationCallback — bypass fingerprint/face auth entirely</t>
  </si>
  <si>
    <t xml:space="preserve">MOB-BL-023</t>
  </si>
  <si>
    <t xml:space="preserve">MASVS-AUTH-2</t>
  </si>
  <si>
    <t xml:space="preserve">Token storage security</t>
  </si>
  <si>
    <t xml:space="preserve">Check if auth tokens stored in SharedPreferences (insecure) vs Android Keystore (secure)</t>
  </si>
  <si>
    <t xml:space="preserve">MOB-BL-024</t>
  </si>
  <si>
    <t xml:space="preserve">MASVS-AUTH-3</t>
  </si>
  <si>
    <t xml:space="preserve">Session management — token reuse after logout</t>
  </si>
  <si>
    <t xml:space="preserve">After logout, replay captured token against API — should return 401</t>
  </si>
  <si>
    <t xml:space="preserve">MASVS-NETWORK: Network Communication</t>
  </si>
  <si>
    <t xml:space="preserve">MOB-BL-025</t>
  </si>
  <si>
    <t xml:space="preserve">MASVS-NETWORK-1</t>
  </si>
  <si>
    <t xml:space="preserve">Network</t>
  </si>
  <si>
    <t xml:space="preserve">Cleartext HTTP traffic</t>
  </si>
  <si>
    <t xml:space="preserve">Check AndroidManifest usesCleartextTraffic=true; Wireshark — any HTTP (not HTTPS) traffic</t>
  </si>
  <si>
    <t xml:space="preserve">MOB-BL-026</t>
  </si>
  <si>
    <t xml:space="preserve">MASVS-NETWORK-2</t>
  </si>
  <si>
    <t xml:space="preserve">TLS certificate validation</t>
  </si>
  <si>
    <t xml:space="preserve">Intercept with invalid cert (after pinning bypass) — app should reject; check for hostname mismatch acceptance</t>
  </si>
  <si>
    <t xml:space="preserve">MOB-BL-027</t>
  </si>
  <si>
    <t xml:space="preserve">API security from mobile context</t>
  </si>
  <si>
    <t xml:space="preserve">Run full OWASP API Top 10 against mobile app's backend API — BOLA, mass assignment, BFLA often weaker on mobile endpoints</t>
  </si>
  <si>
    <t xml:space="preserve">MASVS-PLATFORM: Platform Interaction</t>
  </si>
  <si>
    <t xml:space="preserve">MOB-BL-028</t>
  </si>
  <si>
    <t xml:space="preserve">MASVS-PLATFORM-1</t>
  </si>
  <si>
    <t xml:space="preserve">Platform</t>
  </si>
  <si>
    <t xml:space="preserve">Exported component abuse</t>
  </si>
  <si>
    <t xml:space="preserve">adb shell am start/startservice/broadcast — invoke exported components directly, test for bypass</t>
  </si>
  <si>
    <t xml:space="preserve">MOB-BL-029</t>
  </si>
  <si>
    <t xml:space="preserve">MASVS-PLATFORM-2</t>
  </si>
  <si>
    <t xml:space="preserve">Deep link parameter injection</t>
  </si>
  <si>
    <t xml:space="preserve">Craft malicious deep link URLs — test for open redirect, XSS, LFI via WebView loading</t>
  </si>
  <si>
    <t xml:space="preserve">MOB-BL-030</t>
  </si>
  <si>
    <t xml:space="preserve">MASVS-PLATFORM-3</t>
  </si>
  <si>
    <t xml:space="preserve">WebView security</t>
  </si>
  <si>
    <t xml:space="preserve">Check addJavascriptInterface exposure, file:// access, JS enabled on non-trusted URLs</t>
  </si>
  <si>
    <t xml:space="preserve">MOB-BL-031</t>
  </si>
  <si>
    <t xml:space="preserve">MASVS-PLATFORM-4</t>
  </si>
  <si>
    <t xml:space="preserve">Clipboard data leakage</t>
  </si>
  <si>
    <t xml:space="preserve">Sensitive data (passwords, tokens) copied to ClipboardManager — readable by other apps</t>
  </si>
  <si>
    <t xml:space="preserve">MASVS-CODE: Code Quality</t>
  </si>
  <si>
    <t xml:space="preserve">MOB-BL-032</t>
  </si>
  <si>
    <t xml:space="preserve">MASVS-CODE-1</t>
  </si>
  <si>
    <t xml:space="preserve">Code</t>
  </si>
  <si>
    <t xml:space="preserve">Debug mode enabled in release build</t>
  </si>
  <si>
    <t xml:space="preserve">android:debuggable=true in manifest of release APK — enables ADB debugging on non-rooted device</t>
  </si>
  <si>
    <t xml:space="preserve">MOB-BL-033</t>
  </si>
  <si>
    <t xml:space="preserve">MASVS-CODE-2</t>
  </si>
  <si>
    <t xml:space="preserve">Injection in local processing</t>
  </si>
  <si>
    <t xml:space="preserve">SQLi in local SQLite queries, command injection in exec() calls within app</t>
  </si>
  <si>
    <t xml:space="preserve">MASVS-RESILIENCE: Anti-Tampering</t>
  </si>
  <si>
    <t xml:space="preserve">MOB-BL-034</t>
  </si>
  <si>
    <t xml:space="preserve">MASVS-RESILIENCE-1</t>
  </si>
  <si>
    <t xml:space="preserve">Resilience</t>
  </si>
  <si>
    <t xml:space="preserve">Root/jailbreak detection strength</t>
  </si>
  <si>
    <t xml:space="preserve">Test detection with Magisk Hide, Zygisk/Shamiko — how robust is detection?</t>
  </si>
  <si>
    <t xml:space="preserve">MOB-BL-035</t>
  </si>
  <si>
    <t xml:space="preserve">MASVS-RESILIENCE-2</t>
  </si>
  <si>
    <t xml:space="preserve">APK repackaging &amp; re-signing</t>
  </si>
  <si>
    <t xml:space="preserve">Modify smali (e.g., flip SSL pin check), repack with Apktool, sign with test key, install</t>
  </si>
  <si>
    <t xml:space="preserve">MOB-BL-036</t>
  </si>
  <si>
    <t xml:space="preserve">MASVS-RESILIENCE-3</t>
  </si>
  <si>
    <t xml:space="preserve">Frida / instrumentation detection</t>
  </si>
  <si>
    <t xml:space="preserve">App detects Frida gadget or ptrace — test bypass via Frida anti-detection scripts</t>
  </si>
  <si>
    <t xml:space="preserve">MASVS-PRIVACY: Privacy (v2.1)</t>
  </si>
  <si>
    <t xml:space="preserve">MOB-BL-037</t>
  </si>
  <si>
    <t xml:space="preserve">MASVS-PRIVACY-1</t>
  </si>
  <si>
    <t xml:space="preserve">Privacy</t>
  </si>
  <si>
    <t xml:space="preserve">Sensitive data on lock screen / notifications</t>
  </si>
  <si>
    <t xml:space="preserve">Check notification content leakage — does push notification show sensitive data on locked screen?</t>
  </si>
  <si>
    <t xml:space="preserve">MOB-BL-038</t>
  </si>
  <si>
    <t xml:space="preserve">MASVS-PRIVACY-2</t>
  </si>
  <si>
    <t xml:space="preserve">Screenshot prevention</t>
  </si>
  <si>
    <t xml:space="preserve">FLAG_SECURE not set — sensitive screens captured in recent apps and screenshots</t>
  </si>
  <si>
    <t xml:space="preserve">MOB-BL-039</t>
  </si>
  <si>
    <t xml:space="preserve">MASVS-PRIVACY-3</t>
  </si>
  <si>
    <t xml:space="preserve">Overpermissioned third-party SDKs</t>
  </si>
  <si>
    <t xml:space="preserve">Review declared permissions vs SDK requirements — analytics/ad SDKs requesting Camera, Location</t>
  </si>
  <si>
    <t xml:space="preserve">MOB-BL-040</t>
  </si>
  <si>
    <t xml:space="preserve">MASVS-PRIVACY-4</t>
  </si>
  <si>
    <t xml:space="preserve">Background data leakage</t>
  </si>
  <si>
    <t xml:space="preserve">Background app snapshots — does app blank sensitive screens when backgrounded?</t>
  </si>
  <si>
    <t xml:space="preserve">Login &amp; Biometric</t>
  </si>
  <si>
    <t xml:space="preserve">MOB-CT-001</t>
  </si>
  <si>
    <t xml:space="preserve">Login / Biometric</t>
  </si>
  <si>
    <t xml:space="preserve">Biometric hook bypass</t>
  </si>
  <si>
    <t xml:space="preserve">Frida hook on biometric callback — call success branch directly without real biometric</t>
  </si>
  <si>
    <t xml:space="preserve">MOB-CT-002</t>
  </si>
  <si>
    <t xml:space="preserve">Auth token extraction from memory</t>
  </si>
  <si>
    <t xml:space="preserve">Fridump during authenticated session — search memory for JWT/Bearer tokens</t>
  </si>
  <si>
    <t xml:space="preserve">MOB-CT-003</t>
  </si>
  <si>
    <t xml:space="preserve">Login response manipulation</t>
  </si>
  <si>
    <t xml:space="preserve">Intercept login response — change false→true, 401→200 in auth response fields</t>
  </si>
  <si>
    <t xml:space="preserve">MOB-CT-004</t>
  </si>
  <si>
    <t xml:space="preserve">Credential storage location</t>
  </si>
  <si>
    <t xml:space="preserve">Confirm passwords/tokens use Android Keystore — not SharedPreferences or hardcoded</t>
  </si>
  <si>
    <t xml:space="preserve">Deep Links &amp; URL Schemes</t>
  </si>
  <si>
    <t xml:space="preserve">MOB-CT-005</t>
  </si>
  <si>
    <t xml:space="preserve">Deep Links</t>
  </si>
  <si>
    <t xml:space="preserve">Deep link → WebView open redirect</t>
  </si>
  <si>
    <t xml:space="preserve">Craft deep link with attacker URL as param — does app load arbitrary URL in WebView?</t>
  </si>
  <si>
    <t xml:space="preserve">MOB-CT-006</t>
  </si>
  <si>
    <t xml:space="preserve">Inject SQLi, XSS, path traversal via deep link query params processed by app</t>
  </si>
  <si>
    <t xml:space="preserve">MOB-CT-007</t>
  </si>
  <si>
    <t xml:space="preserve">Deep link → token theft chain</t>
  </si>
  <si>
    <t xml:space="preserve">Deep link triggers auth flow, attacker-controlled redirect_uri captures OAuth token</t>
  </si>
  <si>
    <t xml:space="preserve">Payment &amp; Transaction</t>
  </si>
  <si>
    <t xml:space="preserve">MOB-CT-008</t>
  </si>
  <si>
    <t xml:space="preserve">Payment</t>
  </si>
  <si>
    <t xml:space="preserve">Payment request interception &amp; tampering</t>
  </si>
  <si>
    <t xml:space="preserve">Intercept payment API request — modify amount, currency, recipient before server processes</t>
  </si>
  <si>
    <t xml:space="preserve">MOB-CT-009</t>
  </si>
  <si>
    <t xml:space="preserve">Race condition on mobile payment</t>
  </si>
  <si>
    <t xml:space="preserve">Trigger payment confirmation concurrently from two devices/sessions</t>
  </si>
  <si>
    <t xml:space="preserve">MOB-CT-010</t>
  </si>
  <si>
    <t xml:space="preserve">QR code injection / malicious QR</t>
  </si>
  <si>
    <t xml:space="preserve">Scan attacker-crafted QR — does app process embedded deep link or payload unsafely?</t>
  </si>
  <si>
    <t xml:space="preserve">MOB-CT-011</t>
  </si>
  <si>
    <t xml:space="preserve">Payment step bypass via API call</t>
  </si>
  <si>
    <t xml:space="preserve">Skip payment UI flow — call post-payment API endpoint directly to confirm without paying</t>
  </si>
  <si>
    <t xml:space="preserve">Push Notifications</t>
  </si>
  <si>
    <t xml:space="preserve">MOB-CT-012</t>
  </si>
  <si>
    <t xml:space="preserve">Notification content leakage</t>
  </si>
  <si>
    <t xml:space="preserve">Check if notification payload shows sensitive data (balance, OTP, PII) on locked screen</t>
  </si>
  <si>
    <t xml:space="preserve">MOB-CT-013</t>
  </si>
  <si>
    <t xml:space="preserve">FCM token leakage</t>
  </si>
  <si>
    <t xml:space="preserve">FCM registration token logged or stored insecurely — allows notification spoofing</t>
  </si>
  <si>
    <t xml:space="preserve">WebView / In-App Browser</t>
  </si>
  <si>
    <t xml:space="preserve">MOB-CT-014</t>
  </si>
  <si>
    <t xml:space="preserve">WebView</t>
  </si>
  <si>
    <t xml:space="preserve">JavaScript interface abuse</t>
  </si>
  <si>
    <t xml:space="preserve">Identify addJavascriptInterface — call exposed Java methods from injected JS</t>
  </si>
  <si>
    <t xml:space="preserve">MOB-CT-015</t>
  </si>
  <si>
    <t xml:space="preserve">File:// access in WebView</t>
  </si>
  <si>
    <t xml:space="preserve">WebView loads file:// URIs — read arbitrary app files or even /data/data/ via XSS</t>
  </si>
  <si>
    <t xml:space="preserve">MOB-CT-016</t>
  </si>
  <si>
    <t xml:space="preserve">Open redirect into WebView</t>
  </si>
  <si>
    <t xml:space="preserve">Any open redirect that loads in WebView context — phishing or JS injection</t>
  </si>
  <si>
    <t xml:space="preserve">File Handling</t>
  </si>
  <si>
    <t xml:space="preserve">MOB-CT-017</t>
  </si>
  <si>
    <t xml:space="preserve">Path traversal in file operations</t>
  </si>
  <si>
    <t xml:space="preserve">Filename parameter in file open/save — ../../data/data/&lt;pkg&gt;/databases/main.db</t>
  </si>
  <si>
    <t xml:space="preserve">MOB-CT-018</t>
  </si>
  <si>
    <t xml:space="preserve">Insecure file provider exposure</t>
  </si>
  <si>
    <t xml:space="preserve">FileProvider with overly broad paths — other apps can access private app files via content://</t>
  </si>
  <si>
    <t xml:space="preserve">API — Mobile Backend</t>
  </si>
  <si>
    <t xml:space="preserve">MOB-CT-019</t>
  </si>
  <si>
    <t xml:space="preserve">API Backend</t>
  </si>
  <si>
    <t xml:space="preserve">BOLA on mobile API endpoints</t>
  </si>
  <si>
    <t xml:space="preserve">Mobile API often uses different auth or lacks server-side checks — test IDOR on all object IDs</t>
  </si>
  <si>
    <t xml:space="preserve">MOB-CT-020</t>
  </si>
  <si>
    <t xml:space="preserve">BFLA — admin functions via mobile API</t>
  </si>
  <si>
    <t xml:space="preserve">Call privileged API functions available only via mobile client but not enforced server-side</t>
  </si>
  <si>
    <t xml:space="preserve">MOB-CT-021</t>
  </si>
  <si>
    <t xml:space="preserve">Mass assignment on mobile endpoints</t>
  </si>
  <si>
    <t xml:space="preserve">POST extra fields to mobile-specific endpoints — role, balance, is_verified</t>
  </si>
  <si>
    <t xml:space="preserve">MOB-CT-022</t>
  </si>
  <si>
    <t xml:space="preserve">API2-2023</t>
  </si>
  <si>
    <t xml:space="preserve">Weak auth on mobile-specific endpoints</t>
  </si>
  <si>
    <t xml:space="preserve">Mobile app uses API key or device ID instead of proper auth — test without credentials</t>
  </si>
  <si>
    <t xml:space="preserve">DSK-BL-001</t>
  </si>
  <si>
    <t xml:space="preserve">TASVS-INFO-1</t>
  </si>
  <si>
    <t xml:space="preserve">Architecture identification (2-tier / 3-tier)</t>
  </si>
  <si>
    <t xml:space="preserve">CFF Explorer, Wireshark, netstat — determine if app speaks directly to DB or through app server</t>
  </si>
  <si>
    <t xml:space="preserve">DSK-BL-002</t>
  </si>
  <si>
    <t xml:space="preserve">Technology stack identification</t>
  </si>
  <si>
    <t xml:space="preserve">Detect It Easy (DIE), CFF Explorer — language, framework, .NET version, packer</t>
  </si>
  <si>
    <t xml:space="preserve">DSK-BL-003</t>
  </si>
  <si>
    <t xml:space="preserve">Network communication mapping</t>
  </si>
  <si>
    <t xml:space="preserve">Wireshark + netstat -ano + Resource Monitor — identify all outbound connections and protocols</t>
  </si>
  <si>
    <t xml:space="preserve">DSK-BL-004</t>
  </si>
  <si>
    <t xml:space="preserve">All entry point identification</t>
  </si>
  <si>
    <t xml:space="preserve">Observe all input surfaces: forms, file imports, URL handlers, IPC endpoints, clipboard</t>
  </si>
  <si>
    <t xml:space="preserve">DSK-BL-005</t>
  </si>
  <si>
    <t xml:space="preserve">TASVS-INFO-2</t>
  </si>
  <si>
    <t xml:space="preserve">Auth mechanism analysis</t>
  </si>
  <si>
    <t xml:space="preserve">Observe login flow — local vs server-side, token storage location, session handling</t>
  </si>
  <si>
    <t xml:space="preserve">DSK-BL-006</t>
  </si>
  <si>
    <t xml:space="preserve">Hardcoded credential search</t>
  </si>
  <si>
    <t xml:space="preserve">Strings, Ghidra, dnSpy — search decompiled/disassembled code for passwords, API keys, connection strings</t>
  </si>
  <si>
    <t xml:space="preserve">GUI Testing</t>
  </si>
  <si>
    <t xml:space="preserve">DSK-BL-007</t>
  </si>
  <si>
    <t xml:space="preserve">TASVS-CONF-1</t>
  </si>
  <si>
    <t xml:space="preserve">GUI</t>
  </si>
  <si>
    <t xml:space="preserve">Hidden UI element exposure</t>
  </si>
  <si>
    <t xml:space="preserve">UISpy, WinSpy++, Snoop WPF — find disabled/hidden controls, enable them to access restricted functions</t>
  </si>
  <si>
    <t xml:space="preserve">DSK-BL-008</t>
  </si>
  <si>
    <t xml:space="preserve">Disabled functionality activation</t>
  </si>
  <si>
    <t xml:space="preserve">Modify GUI state programmatically or via memory patch to enable greyed-out features</t>
  </si>
  <si>
    <t xml:space="preserve">DSK-BL-009</t>
  </si>
  <si>
    <t xml:space="preserve">Injection via GUI input fields</t>
  </si>
  <si>
    <t xml:space="preserve">Test all text input fields for SQLi, command injection, format string — data may pass to backend</t>
  </si>
  <si>
    <t xml:space="preserve">File Testing</t>
  </si>
  <si>
    <t xml:space="preserve">DSK-BL-010</t>
  </si>
  <si>
    <t xml:space="preserve">TASVS-STOR-1</t>
  </si>
  <si>
    <t xml:space="preserve">Sensitive data in app files</t>
  </si>
  <si>
    <t xml:space="preserve">Inspect %APPDATA%, temp folder, log files for plaintext credentials, tokens, PII</t>
  </si>
  <si>
    <t xml:space="preserve">DSK-BL-011</t>
  </si>
  <si>
    <t xml:space="preserve">Temp file credential capture technique</t>
  </si>
  <si>
    <t xml:space="preserve">Lock Temp folder (disable Delete permission) before running app — credentials written to temp persist for inspection</t>
  </si>
  <si>
    <t xml:space="preserve">DSK-BL-012</t>
  </si>
  <si>
    <t xml:space="preserve">TASVS-STOR-2</t>
  </si>
  <si>
    <t xml:space="preserve">Config file sensitive data</t>
  </si>
  <si>
    <t xml:space="preserve">app.config, web.config, .ini, .xml — connection strings, API keys, credentials in plaintext</t>
  </si>
  <si>
    <t xml:space="preserve">DSK-BL-013</t>
  </si>
  <si>
    <t xml:space="preserve">DLL hijacking via application path</t>
  </si>
  <si>
    <t xml:space="preserve">Procmon filter NAME NOT FOUND + CreateFile — find DLL load from writable path</t>
  </si>
  <si>
    <t xml:space="preserve">DSK-BL-014</t>
  </si>
  <si>
    <t xml:space="preserve">Unquoted service path</t>
  </si>
  <si>
    <t xml:space="preserve">sc qc &lt;service&gt; — space in path without quotes allows binary planting for privesc</t>
  </si>
  <si>
    <t xml:space="preserve">Registry Testing</t>
  </si>
  <si>
    <t xml:space="preserve">DSK-BL-015</t>
  </si>
  <si>
    <t xml:space="preserve">TASVS-STOR-3</t>
  </si>
  <si>
    <t xml:space="preserve">Registry</t>
  </si>
  <si>
    <t xml:space="preserve">Sensitive data in registry</t>
  </si>
  <si>
    <t xml:space="preserve">Regshot (before/after snapshot) — check for credentials, tokens written to HKCU/HKLM</t>
  </si>
  <si>
    <t xml:space="preserve">DSK-BL-016</t>
  </si>
  <si>
    <t xml:space="preserve">Writable registry keys for persistence</t>
  </si>
  <si>
    <t xml:space="preserve">Check ACLs on app registry keys — writable by non-admin allows persistence/hijack</t>
  </si>
  <si>
    <t xml:space="preserve">Network &amp; Traffic Testing</t>
  </si>
  <si>
    <t xml:space="preserve">DSK-BL-017</t>
  </si>
  <si>
    <t xml:space="preserve">TASVS-NETW-1</t>
  </si>
  <si>
    <t xml:space="preserve">Proxy-aware traffic interception</t>
  </si>
  <si>
    <t xml:space="preserve">Change proxy in app settings — Burp Suite, Fiddler (best for .NET) to intercept HTTP/S</t>
  </si>
  <si>
    <t xml:space="preserve">DSK-BL-018</t>
  </si>
  <si>
    <t xml:space="preserve">Proxy-unaware traffic interception</t>
  </si>
  <si>
    <t xml:space="preserve">ProxyBridge, InterceptSuite, Echo Mirage, Proxify — redirect traffic without app cooperation</t>
  </si>
  <si>
    <t xml:space="preserve">DSK-BL-019</t>
  </si>
  <si>
    <t xml:space="preserve">Non-HTTP traffic analysis</t>
  </si>
  <si>
    <t xml:space="preserve">Wireshark + Burp No-PE Extension — inspect custom protocols, raw TCP, named pipe traffic</t>
  </si>
  <si>
    <t xml:space="preserve">DSK-BL-020</t>
  </si>
  <si>
    <t xml:space="preserve">TASVS-NETW-2</t>
  </si>
  <si>
    <t xml:space="preserve">TLS configuration</t>
  </si>
  <si>
    <t xml:space="preserve">testssl.sh — weak ciphers, TLS 1.0/1.1, self-signed cert acceptance on thick client</t>
  </si>
  <si>
    <t xml:space="preserve">DSK-BL-021</t>
  </si>
  <si>
    <t xml:space="preserve">API security from desktop context</t>
  </si>
  <si>
    <t xml:space="preserve">Run OWASP API Top 10 (BOLA, mass assignment, BFLA) against the desktop app's backend API endpoints</t>
  </si>
  <si>
    <t xml:space="preserve">DSK-BL-022</t>
  </si>
  <si>
    <t xml:space="preserve">Cleartext protocol usage</t>
  </si>
  <si>
    <t xml:space="preserve">Wireshark — app sending credentials or data over HTTP, FTP, Telnet unencrypted</t>
  </si>
  <si>
    <t xml:space="preserve">Binary Protections (Assembly / PE)</t>
  </si>
  <si>
    <t xml:space="preserve">DSK-BL-023</t>
  </si>
  <si>
    <t xml:space="preserve">TASVS-CODE-2</t>
  </si>
  <si>
    <t xml:space="preserve">Assembly</t>
  </si>
  <si>
    <t xml:space="preserve">ASLR / DEP / SafeSEH / CFG check</t>
  </si>
  <si>
    <t xml:space="preserve">CFF Explorer, winchecksec — verify modern binary mitigations enabled on all DLLs and EXE</t>
  </si>
  <si>
    <t xml:space="preserve">DSK-BL-024</t>
  </si>
  <si>
    <t xml:space="preserve">.NET decompilation &amp; logic review</t>
  </si>
  <si>
    <t xml:space="preserve">dnSpy, ILSpy — decompile .NET assembly; review auth checks, license logic, crypto use</t>
  </si>
  <si>
    <t xml:space="preserve">DSK-BL-025</t>
  </si>
  <si>
    <t xml:space="preserve">Java/JAR decompilation</t>
  </si>
  <si>
    <t xml:space="preserve">Jadx, CFR — decompile Java thick client; JNDI injection, deserialization gadget chains</t>
  </si>
  <si>
    <t xml:space="preserve">DSK-BL-026</t>
  </si>
  <si>
    <t xml:space="preserve">TASVS-CODE-3</t>
  </si>
  <si>
    <t xml:space="preserve">.NET deserialization</t>
  </si>
  <si>
    <t xml:space="preserve">Test BinaryFormatter/SOAP deserialization endpoints — ysoserial.net gadget chains</t>
  </si>
  <si>
    <t xml:space="preserve">Memory Testing</t>
  </si>
  <si>
    <t xml:space="preserve">DSK-BL-027</t>
  </si>
  <si>
    <t xml:space="preserve">TASVS-STOR-4</t>
  </si>
  <si>
    <t xml:space="preserve">Memory</t>
  </si>
  <si>
    <t xml:space="preserve">Sensitive data in process memory</t>
  </si>
  <si>
    <t xml:space="preserve">Process Hacker memory scan — search for credentials, tokens, keys in live process memory</t>
  </si>
  <si>
    <t xml:space="preserve">DSK-BL-028</t>
  </si>
  <si>
    <t xml:space="preserve">Credential extraction from memory dump</t>
  </si>
  <si>
    <t xml:space="preserve">Attach x64dbg / Process Hacker — dump and search memory during auth operation</t>
  </si>
  <si>
    <t xml:space="preserve">MSI Installer Testing</t>
  </si>
  <si>
    <t xml:space="preserve">DSK-BL-029</t>
  </si>
  <si>
    <t xml:space="preserve">TASVS-CODE-1</t>
  </si>
  <si>
    <t xml:space="preserve">MSI</t>
  </si>
  <si>
    <t xml:space="preserve">AlwaysInstallElevated check</t>
  </si>
  <si>
    <t xml:space="preserve">reg query HKCU+HKLM ...\Installer /v AlwaysInstallElevated — if both 0x1, any user installs as SYSTEM</t>
  </si>
  <si>
    <t xml:space="preserve">DSK-BL-030</t>
  </si>
  <si>
    <t xml:space="preserve">Custom Action DLL hijack</t>
  </si>
  <si>
    <t xml:space="preserve">Procmon during install: filter msiexec.exe + CreateFile + NAME NOT FOUND — DLL in writable path = hijack</t>
  </si>
  <si>
    <t xml:space="preserve">DSK-BL-031</t>
  </si>
  <si>
    <t xml:space="preserve">Credentials in MSI tables</t>
  </si>
  <si>
    <t xml:space="preserve">MyMSIAnalyzer / strings — check Property, Registry, CustomAction tables for plaintext credentials</t>
  </si>
  <si>
    <t xml:space="preserve">DSK-BL-032</t>
  </si>
  <si>
    <t xml:space="preserve">MSI repair mode privilege escalation</t>
  </si>
  <si>
    <t xml:space="preserve">GuiFinder — identify MSIs running GUI as SYSTEM; exploit explorer.exe escape to get SYSTEM shell</t>
  </si>
  <si>
    <t xml:space="preserve">DSK-BL-033</t>
  </si>
  <si>
    <t xml:space="preserve">MST transform backdoor (unsigned MSI)</t>
  </si>
  <si>
    <t xml:space="preserve">If MSI unsigned: craft malicious .mst transform, execute: msiexec /i legit.msi TRANSFORMS=evil.mst</t>
  </si>
  <si>
    <t xml:space="preserve">Common Vulnerability Testing</t>
  </si>
  <si>
    <t xml:space="preserve">DSK-BL-034</t>
  </si>
  <si>
    <t xml:space="preserve">Common</t>
  </si>
  <si>
    <t xml:space="preserve">Electron — contextIsolation / nodeIntegration</t>
  </si>
  <si>
    <t xml:space="preserve">Check package.json/main process for nodeIntegration:true, contextIsolation:false — XSS → RCE</t>
  </si>
  <si>
    <t xml:space="preserve">DSK-BL-035</t>
  </si>
  <si>
    <t xml:space="preserve">Electron — preload script injection</t>
  </si>
  <si>
    <t xml:space="preserve">Review preload.js contextBridge exposure — can renderer abuse exposed APIs for code exec?</t>
  </si>
  <si>
    <t xml:space="preserve">DSK-BL-036</t>
  </si>
  <si>
    <t xml:space="preserve">Embedded WebView full web pentest</t>
  </si>
  <si>
    <t xml:space="preserve">If app embeds WebView/CEF/Edge — run full web pentest layer: XSS, injection, SSRF, auth</t>
  </si>
  <si>
    <t xml:space="preserve">DSK-BL-037</t>
  </si>
  <si>
    <t xml:space="preserve">DPAPI credential storage</t>
  </si>
  <si>
    <t xml:space="preserve">Check if app uses DPAPI (CryptProtectData) — can same user context decrypt and read secrets?</t>
  </si>
  <si>
    <t xml:space="preserve">DSK-BL-038</t>
  </si>
  <si>
    <t xml:space="preserve">Named pipe / local socket auth</t>
  </si>
  <si>
    <t xml:space="preserve">pipelist.exe + AccessChk — named pipes accessible without auth; local 127.0.0.1 service with no auth</t>
  </si>
  <si>
    <t xml:space="preserve">Authentication &amp; Login</t>
  </si>
  <si>
    <t xml:space="preserve">DSK-CT-001</t>
  </si>
  <si>
    <t xml:space="preserve">TASVS-AUTH-1</t>
  </si>
  <si>
    <t xml:space="preserve">Auth / Login</t>
  </si>
  <si>
    <t xml:space="preserve">Bypass local auth check</t>
  </si>
  <si>
    <t xml:space="preserve">Memory patch (x64dbg) or binary patch — flip auth result check from jne to je; always-true patch</t>
  </si>
  <si>
    <t xml:space="preserve">DSK-CT-002</t>
  </si>
  <si>
    <t xml:space="preserve">Credential in transit — desktop to server</t>
  </si>
  <si>
    <t xml:space="preserve">Intercept login via Burp/Fiddler — plaintext or weakly hashed credential in transit</t>
  </si>
  <si>
    <t xml:space="preserve">DSK-CT-003</t>
  </si>
  <si>
    <t xml:space="preserve">TASVS-AUTH-2</t>
  </si>
  <si>
    <t xml:space="preserve">Offline mode bypasses server auth</t>
  </si>
  <si>
    <t xml:space="preserve">Disconnect network — does app enter offline mode with full access? Are cached creds protected?</t>
  </si>
  <si>
    <t xml:space="preserve">DSK-CT-004</t>
  </si>
  <si>
    <t xml:space="preserve">Cached credential protection</t>
  </si>
  <si>
    <t xml:space="preserve">Search disk + memory + registry for cached credentials used in offline mode — DPAPI protected?</t>
  </si>
  <si>
    <t xml:space="preserve">License &amp; Trial Validation</t>
  </si>
  <si>
    <t xml:space="preserve">DSK-CT-005</t>
  </si>
  <si>
    <t xml:space="preserve">License</t>
  </si>
  <si>
    <t xml:space="preserve">License check patch</t>
  </si>
  <si>
    <t xml:space="preserve">dnSpy/x64dbg — locate license validation function, patch return value to always-valid</t>
  </si>
  <si>
    <t xml:space="preserve">DSK-CT-006</t>
  </si>
  <si>
    <t xml:space="preserve">Clock manipulation for trial reset</t>
  </si>
  <si>
    <t xml:space="preserve">Advance system clock — does trial period reset or extend? Check registry for trial timestamp</t>
  </si>
  <si>
    <t xml:space="preserve">DSK-CT-007</t>
  </si>
  <si>
    <t xml:space="preserve">Trial state in registry / file</t>
  </si>
  <si>
    <t xml:space="preserve">Regshot — find where trial state stored; delete or modify to reset trial period</t>
  </si>
  <si>
    <t xml:space="preserve">DSK-CT-008</t>
  </si>
  <si>
    <t xml:space="preserve">License server request tampering</t>
  </si>
  <si>
    <t xml:space="preserve">Intercept license validation API — modify response to reflect valid license</t>
  </si>
  <si>
    <t xml:space="preserve">IPC / Named Pipes / Local Sockets</t>
  </si>
  <si>
    <t xml:space="preserve">DSK-CT-009</t>
  </si>
  <si>
    <t xml:space="preserve">IPC</t>
  </si>
  <si>
    <t xml:space="preserve">Named pipe impersonation</t>
  </si>
  <si>
    <t xml:space="preserve">pipelist.exe + AccessChk — writable pipe without auth; impersonate token of connecting process</t>
  </si>
  <si>
    <t xml:space="preserve">DSK-CT-010</t>
  </si>
  <si>
    <t xml:space="preserve">Local socket without authentication</t>
  </si>
  <si>
    <t xml:space="preserve">127.0.0.1 service accessible by any local user without auth token — SSRF or command exec</t>
  </si>
  <si>
    <t xml:space="preserve">DSK-CT-011</t>
  </si>
  <si>
    <t xml:space="preserve">COM object abuse</t>
  </si>
  <si>
    <t xml:space="preserve">OleView — find COM objects registered by app; call methods without proper auth</t>
  </si>
  <si>
    <t xml:space="preserve">Auto-Update Mechanism</t>
  </si>
  <si>
    <t xml:space="preserve">DSK-CT-012</t>
  </si>
  <si>
    <t xml:space="preserve">Auto-Update</t>
  </si>
  <si>
    <t xml:space="preserve">Unsigned update package</t>
  </si>
  <si>
    <t xml:space="preserve">Intercept update download — replace with modified binary; does app verify signature before exec?</t>
  </si>
  <si>
    <t xml:space="preserve">DSK-CT-013</t>
  </si>
  <si>
    <t xml:space="preserve">MITM on update channel</t>
  </si>
  <si>
    <t xml:space="preserve">ARP spoof / DNS poison update server — serve malicious update over HTTP or invalid cert</t>
  </si>
  <si>
    <t xml:space="preserve">DSK-CT-014</t>
  </si>
  <si>
    <t xml:space="preserve">Path traversal in update extraction</t>
  </si>
  <si>
    <t xml:space="preserve">Zip slip — update archive extracts files to arbitrary paths outside update directory</t>
  </si>
  <si>
    <t xml:space="preserve">Embedded WebView / Browser</t>
  </si>
  <si>
    <t xml:space="preserve">DSK-CT-015</t>
  </si>
  <si>
    <t xml:space="preserve">XSS → RCE via Electron shell.openExternal</t>
  </si>
  <si>
    <t xml:space="preserve">XSS in rendered content calls shell.openExternal with attacker URL — executes OS commands</t>
  </si>
  <si>
    <t xml:space="preserve">DSK-CT-016</t>
  </si>
  <si>
    <t xml:space="preserve">contextBridge API abuse</t>
  </si>
  <si>
    <t xml:space="preserve">Enumerate exposed contextBridge APIs — call privileged Node.js/native functions from renderer</t>
  </si>
  <si>
    <t xml:space="preserve">DSK-CT-017</t>
  </si>
  <si>
    <t xml:space="preserve">Full web pentest on embedded WebView</t>
  </si>
  <si>
    <t xml:space="preserve">Apply web baseline (injection, auth, SSRF, XSS) to URLs rendered inside app WebView/CEF</t>
  </si>
  <si>
    <t xml:space="preserve">DSK-CT-018</t>
  </si>
  <si>
    <t xml:space="preserve">Import file path traversal</t>
  </si>
  <si>
    <t xml:space="preserve">File import feature — craft filename with ../../ to write/read outside intended directory</t>
  </si>
  <si>
    <t xml:space="preserve">DSK-CT-019</t>
  </si>
  <si>
    <t xml:space="preserve">Malicious file parsing (RCE)</t>
  </si>
  <si>
    <t xml:space="preserve">Import specially crafted document/image — trigger parsing vulnerability (e.g., image library CVE)</t>
  </si>
  <si>
    <t xml:space="preserve">Payment / Transaction</t>
  </si>
  <si>
    <t xml:space="preserve">DSK-CT-020</t>
  </si>
  <si>
    <t xml:space="preserve">Payment API request tampering</t>
  </si>
  <si>
    <t xml:space="preserve">Intercept payment request — modify amount, recipient, currency before server processes</t>
  </si>
  <si>
    <t xml:space="preserve">DSK-CT-021</t>
  </si>
  <si>
    <t xml:space="preserve">Race condition on desktop payment</t>
  </si>
  <si>
    <t xml:space="preserve">Concurrent payment triggers — submit same payment twice simultaneously</t>
  </si>
  <si>
    <t xml:space="preserve">STATUS VALUES</t>
  </si>
  <si>
    <t xml:space="preserve">Test has not been performed yet</t>
  </si>
  <si>
    <t xml:space="preserve">In Progress</t>
  </si>
  <si>
    <t xml:space="preserve">Currently being tested</t>
  </si>
  <si>
    <t xml:space="preserve">Pass</t>
  </si>
  <si>
    <t xml:space="preserve">Test completed — no vulnerability found</t>
  </si>
  <si>
    <t xml:space="preserve">Fail</t>
  </si>
  <si>
    <t xml:space="preserve">Test completed — vulnerability confirmed</t>
  </si>
  <si>
    <t xml:space="preserve">N/A</t>
  </si>
  <si>
    <t xml:space="preserve">Not applicable to this engagement / feature not present</t>
  </si>
  <si>
    <t xml:space="preserve">SEVERITY RUBRIC</t>
  </si>
  <si>
    <t xml:space="preserve">RCE, full auth bypass, full data breach, payment manipulation with financial impact</t>
  </si>
  <si>
    <t xml:space="preserve">Significant data exposure, privilege escalation, chained medium, IDOR with real data</t>
  </si>
  <si>
    <t xml:space="preserve">Requires authentication or specific conditions to exploit; limited impact alone</t>
  </si>
  <si>
    <t xml:space="preserve">Defence-in-depth / hardening issues; minimal direct exploitability</t>
  </si>
  <si>
    <t xml:space="preserve">Recon / fingerprinting / no direct security impact — informational only</t>
  </si>
  <si>
    <t xml:space="preserve">MODE</t>
  </si>
  <si>
    <t xml:space="preserve">Applicable during broad/unauthenticated discovery phase — no prior app knowledge</t>
  </si>
  <si>
    <t xml:space="preserve">Applicable when you have defined scope, account access, and known features</t>
  </si>
  <si>
    <t xml:space="preserve">Applicable in both engagement types</t>
  </si>
  <si>
    <t xml:space="preserve">TYPE</t>
  </si>
  <si>
    <t xml:space="preserve">An actual pass/fail test case — record Status and Evidence</t>
  </si>
  <si>
    <t xml:space="preserve">Environment / tool setup step — prerequisite before testing, not a test case</t>
  </si>
  <si>
    <t xml:space="preserve">FEATURE PRESENT? (Custom sheets only)</t>
  </si>
  <si>
    <t xml:space="preserve">Y</t>
  </si>
  <si>
    <t xml:space="preserve">This feature exists in the target app — run the test</t>
  </si>
  <si>
    <t xml:space="preserve">N</t>
  </si>
  <si>
    <t xml:space="preserve">Feature does not exist in this app — skip</t>
  </si>
  <si>
    <t xml:space="preserve">Not yet determined</t>
  </si>
  <si>
    <t xml:space="preserve">COLUMN GUIDE</t>
  </si>
  <si>
    <t xml:space="preserve">Row number within section</t>
  </si>
  <si>
    <t xml:space="preserve">Internal reference (WEB-BL-001, MOB-CT-005 etc.)</t>
  </si>
  <si>
    <t xml:space="preserve">OWASP / MASVS / TASVS / API standard reference ID</t>
  </si>
  <si>
    <t xml:space="preserve">Group / Feature</t>
  </si>
  <si>
    <t xml:space="preserve">Category (baseline) or Feature name (custom)</t>
  </si>
  <si>
    <t xml:space="preserve">Short name — what you're testing</t>
  </si>
  <si>
    <t xml:space="preserve">Objective</t>
  </si>
  <si>
    <t xml:space="preserve">What to do, what to look for, tools to use</t>
  </si>
  <si>
    <t xml:space="preserve">Custom sheets only — mark Y/N/— per engagement</t>
  </si>
  <si>
    <t xml:space="preserve">Black-Box / Scoped / Both — filter per engagement type</t>
  </si>
  <si>
    <t xml:space="preserve">Test or Setup — filter to show only test cases</t>
  </si>
  <si>
    <t xml:space="preserve">Expected severity if vulnerability found — see rubric above</t>
  </si>
  <si>
    <t xml:space="preserve">Not Started / In Progress / Pass / Fail / N/A</t>
  </si>
  <si>
    <t xml:space="preserve">Date tested — useful for re-test tracking</t>
  </si>
  <si>
    <t xml:space="preserve">URL, screenshot ref, PoC summary, finding notes</t>
  </si>
  <si>
    <t xml:space="preserve">SOURCES</t>
  </si>
  <si>
    <t xml:space="preserve">WSTG v4.2</t>
  </si>
  <si>
    <t xml:space="preserve">OWASP Web Security Testing Guide — owasp.org/www-project-web-security-testing-guide/</t>
  </si>
  <si>
    <t xml:space="preserve">MASVS v2.1 / MASTG</t>
  </si>
  <si>
    <t xml:space="preserve">OWASP Mobile Application Security — mas.owasp.org</t>
  </si>
  <si>
    <t xml:space="preserve">OWASP API Top 10 2023</t>
  </si>
  <si>
    <t xml:space="preserve">owasp.org/www-project-api-security/</t>
  </si>
  <si>
    <t xml:space="preserve">TASVS v1.8</t>
  </si>
  <si>
    <t xml:space="preserve">OWASP Thick Application Security Verification Standard</t>
  </si>
  <si>
    <t xml:space="preserve">Custom</t>
  </si>
  <si>
    <t xml:space="preserve">Practitioner additions based on real-world engagement patterns (2025-2026)</t>
  </si>
  <si>
    <t xml:space="preserve">PROGRESS SUMMARY</t>
  </si>
  <si>
    <t xml:space="preserve">Sheet</t>
  </si>
  <si>
    <t xml:space="preserve">Total Tests</t>
  </si>
  <si>
    <t xml:space="preserve">WEB - Baseline</t>
  </si>
  <si>
    <t xml:space="preserve">WEB - Custom</t>
  </si>
  <si>
    <t xml:space="preserve">MOBILE - Baseline</t>
  </si>
  <si>
    <t xml:space="preserve">MOBILE - Custom</t>
  </si>
  <si>
    <t xml:space="preserve">DESKTOP - Baseline</t>
  </si>
  <si>
    <t xml:space="preserve">DESKTOP - Custom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</si>
</sst>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b val="true"/>
      <sz val="9"/>
      <color rgb="FF1A1A1A"/>
      <name val="Aptos"/>
      <family val="0"/>
      <charset val="1"/>
    </font>
    <font>
      <sz val="9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75623"/>
      </patternFill>
    </fill>
    <fill>
      <patternFill patternType="solid">
        <fgColor rgb="FFEAECEE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CEE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EAEC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4F9E"/>
      <rgbColor rgb="FF969696"/>
      <rgbColor rgb="FF003366"/>
      <rgbColor rgb="FF339966"/>
      <rgbColor rgb="FF375623"/>
      <rgbColor rgb="FF1A1A1A"/>
      <rgbColor rgb="FF993300"/>
      <rgbColor rgb="FF993366"/>
      <rgbColor rgb="FF55555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true" outlineLevel="0" collapsed="false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2" hidden="false" customHeight="true" outlineLevel="0" collapsed="false">
      <c r="A3" s="4" t="n">
        <v>1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  <c r="H3" s="6" t="s">
        <v>19</v>
      </c>
      <c r="I3" s="6" t="s">
        <v>20</v>
      </c>
      <c r="J3" s="6" t="s">
        <v>21</v>
      </c>
      <c r="K3" s="5"/>
      <c r="L3" s="5"/>
    </row>
    <row r="4" customFormat="false" ht="42" hidden="false" customHeight="true" outlineLevel="0" collapsed="false">
      <c r="A4" s="7" t="n">
        <v>2</v>
      </c>
      <c r="B4" s="8" t="s">
        <v>22</v>
      </c>
      <c r="C4" s="8" t="s">
        <v>23</v>
      </c>
      <c r="D4" s="8" t="s">
        <v>15</v>
      </c>
      <c r="E4" s="8" t="s">
        <v>24</v>
      </c>
      <c r="F4" s="8" t="s">
        <v>25</v>
      </c>
      <c r="G4" s="9" t="s">
        <v>18</v>
      </c>
      <c r="H4" s="9" t="s">
        <v>19</v>
      </c>
      <c r="I4" s="9" t="s">
        <v>20</v>
      </c>
      <c r="J4" s="9" t="s">
        <v>21</v>
      </c>
      <c r="K4" s="8"/>
      <c r="L4" s="8"/>
    </row>
    <row r="5" customFormat="false" ht="42" hidden="false" customHeight="true" outlineLevel="0" collapsed="false">
      <c r="A5" s="4" t="n">
        <v>3</v>
      </c>
      <c r="B5" s="5" t="s">
        <v>26</v>
      </c>
      <c r="C5" s="5" t="s">
        <v>27</v>
      </c>
      <c r="D5" s="5" t="s">
        <v>15</v>
      </c>
      <c r="E5" s="5" t="s">
        <v>28</v>
      </c>
      <c r="F5" s="5" t="s">
        <v>29</v>
      </c>
      <c r="G5" s="6" t="s">
        <v>18</v>
      </c>
      <c r="H5" s="6" t="s">
        <v>19</v>
      </c>
      <c r="I5" s="6" t="s">
        <v>20</v>
      </c>
      <c r="J5" s="6" t="s">
        <v>21</v>
      </c>
      <c r="K5" s="5"/>
      <c r="L5" s="5"/>
    </row>
    <row r="6" customFormat="false" ht="42" hidden="false" customHeight="true" outlineLevel="0" collapsed="false">
      <c r="A6" s="7" t="n">
        <v>4</v>
      </c>
      <c r="B6" s="8" t="s">
        <v>30</v>
      </c>
      <c r="C6" s="8" t="s">
        <v>31</v>
      </c>
      <c r="D6" s="8" t="s">
        <v>15</v>
      </c>
      <c r="E6" s="8" t="s">
        <v>32</v>
      </c>
      <c r="F6" s="8" t="s">
        <v>33</v>
      </c>
      <c r="G6" s="9" t="s">
        <v>34</v>
      </c>
      <c r="H6" s="9" t="s">
        <v>19</v>
      </c>
      <c r="I6" s="9" t="s">
        <v>35</v>
      </c>
      <c r="J6" s="9" t="s">
        <v>21</v>
      </c>
      <c r="K6" s="8"/>
      <c r="L6" s="8"/>
    </row>
    <row r="7" customFormat="false" ht="42" hidden="false" customHeight="true" outlineLevel="0" collapsed="false">
      <c r="A7" s="4" t="n">
        <v>5</v>
      </c>
      <c r="B7" s="5" t="s">
        <v>36</v>
      </c>
      <c r="C7" s="5" t="s">
        <v>27</v>
      </c>
      <c r="D7" s="5" t="s">
        <v>15</v>
      </c>
      <c r="E7" s="5" t="s">
        <v>37</v>
      </c>
      <c r="F7" s="5" t="s">
        <v>38</v>
      </c>
      <c r="G7" s="6" t="s">
        <v>34</v>
      </c>
      <c r="H7" s="6" t="s">
        <v>19</v>
      </c>
      <c r="I7" s="6" t="s">
        <v>20</v>
      </c>
      <c r="J7" s="6" t="s">
        <v>21</v>
      </c>
      <c r="K7" s="5"/>
      <c r="L7" s="5"/>
    </row>
    <row r="8" customFormat="false" ht="42" hidden="false" customHeight="true" outlineLevel="0" collapsed="false">
      <c r="A8" s="7" t="n">
        <v>6</v>
      </c>
      <c r="B8" s="8" t="s">
        <v>39</v>
      </c>
      <c r="C8" s="8" t="s">
        <v>40</v>
      </c>
      <c r="D8" s="8" t="s">
        <v>15</v>
      </c>
      <c r="E8" s="8" t="s">
        <v>41</v>
      </c>
      <c r="F8" s="8" t="s">
        <v>42</v>
      </c>
      <c r="G8" s="9" t="s">
        <v>18</v>
      </c>
      <c r="H8" s="9" t="s">
        <v>19</v>
      </c>
      <c r="I8" s="9" t="s">
        <v>43</v>
      </c>
      <c r="J8" s="9" t="s">
        <v>21</v>
      </c>
      <c r="K8" s="8"/>
      <c r="L8" s="8"/>
    </row>
    <row r="9" customFormat="false" ht="42" hidden="false" customHeight="true" outlineLevel="0" collapsed="false">
      <c r="A9" s="4" t="n">
        <v>7</v>
      </c>
      <c r="B9" s="5" t="s">
        <v>44</v>
      </c>
      <c r="C9" s="5" t="s">
        <v>14</v>
      </c>
      <c r="D9" s="5" t="s">
        <v>15</v>
      </c>
      <c r="E9" s="5" t="s">
        <v>45</v>
      </c>
      <c r="F9" s="5" t="s">
        <v>46</v>
      </c>
      <c r="G9" s="6" t="s">
        <v>18</v>
      </c>
      <c r="H9" s="6" t="s">
        <v>19</v>
      </c>
      <c r="I9" s="6" t="s">
        <v>43</v>
      </c>
      <c r="J9" s="6" t="s">
        <v>21</v>
      </c>
      <c r="K9" s="5"/>
      <c r="L9" s="5"/>
    </row>
    <row r="10" customFormat="false" ht="42" hidden="false" customHeight="true" outlineLevel="0" collapsed="false">
      <c r="A10" s="7" t="n">
        <v>8</v>
      </c>
      <c r="B10" s="8" t="s">
        <v>47</v>
      </c>
      <c r="C10" s="8" t="s">
        <v>23</v>
      </c>
      <c r="D10" s="8" t="s">
        <v>15</v>
      </c>
      <c r="E10" s="8" t="s">
        <v>48</v>
      </c>
      <c r="F10" s="8" t="s">
        <v>49</v>
      </c>
      <c r="G10" s="9" t="s">
        <v>34</v>
      </c>
      <c r="H10" s="9" t="s">
        <v>19</v>
      </c>
      <c r="I10" s="9" t="s">
        <v>20</v>
      </c>
      <c r="J10" s="9" t="s">
        <v>21</v>
      </c>
      <c r="K10" s="8"/>
      <c r="L10" s="8"/>
    </row>
    <row r="11" customFormat="false" ht="42" hidden="false" customHeight="true" outlineLevel="0" collapsed="false">
      <c r="A11" s="4" t="n">
        <v>9</v>
      </c>
      <c r="B11" s="5" t="s">
        <v>50</v>
      </c>
      <c r="C11" s="5" t="s">
        <v>51</v>
      </c>
      <c r="D11" s="5" t="s">
        <v>15</v>
      </c>
      <c r="E11" s="5" t="s">
        <v>52</v>
      </c>
      <c r="F11" s="5" t="s">
        <v>53</v>
      </c>
      <c r="G11" s="6" t="s">
        <v>18</v>
      </c>
      <c r="H11" s="6" t="s">
        <v>19</v>
      </c>
      <c r="I11" s="6" t="s">
        <v>43</v>
      </c>
      <c r="J11" s="6" t="s">
        <v>21</v>
      </c>
      <c r="K11" s="5"/>
      <c r="L11" s="5"/>
    </row>
    <row r="12" customFormat="false" ht="15.75" hidden="false" customHeight="true" outlineLevel="0" collapsed="false">
      <c r="A12" s="2" t="s">
        <v>54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42" hidden="false" customHeight="true" outlineLevel="0" collapsed="false">
      <c r="A13" s="4" t="n">
        <v>10</v>
      </c>
      <c r="B13" s="5" t="s">
        <v>55</v>
      </c>
      <c r="C13" s="5" t="s">
        <v>56</v>
      </c>
      <c r="D13" s="5" t="s">
        <v>57</v>
      </c>
      <c r="E13" s="5" t="s">
        <v>58</v>
      </c>
      <c r="F13" s="5" t="s">
        <v>59</v>
      </c>
      <c r="G13" s="6" t="s">
        <v>34</v>
      </c>
      <c r="H13" s="6" t="s">
        <v>19</v>
      </c>
      <c r="I13" s="6" t="s">
        <v>35</v>
      </c>
      <c r="J13" s="6" t="s">
        <v>21</v>
      </c>
      <c r="K13" s="5"/>
      <c r="L13" s="5"/>
    </row>
    <row r="14" customFormat="false" ht="42" hidden="false" customHeight="true" outlineLevel="0" collapsed="false">
      <c r="A14" s="7" t="n">
        <v>11</v>
      </c>
      <c r="B14" s="8" t="s">
        <v>60</v>
      </c>
      <c r="C14" s="8" t="s">
        <v>61</v>
      </c>
      <c r="D14" s="8" t="s">
        <v>57</v>
      </c>
      <c r="E14" s="8" t="s">
        <v>62</v>
      </c>
      <c r="F14" s="8" t="s">
        <v>63</v>
      </c>
      <c r="G14" s="9" t="s">
        <v>34</v>
      </c>
      <c r="H14" s="9" t="s">
        <v>19</v>
      </c>
      <c r="I14" s="9" t="s">
        <v>35</v>
      </c>
      <c r="J14" s="9" t="s">
        <v>21</v>
      </c>
      <c r="K14" s="8"/>
      <c r="L14" s="8"/>
    </row>
    <row r="15" customFormat="false" ht="42" hidden="false" customHeight="true" outlineLevel="0" collapsed="false">
      <c r="A15" s="4" t="n">
        <v>12</v>
      </c>
      <c r="B15" s="5" t="s">
        <v>64</v>
      </c>
      <c r="C15" s="5" t="s">
        <v>65</v>
      </c>
      <c r="D15" s="5" t="s">
        <v>57</v>
      </c>
      <c r="E15" s="5" t="s">
        <v>66</v>
      </c>
      <c r="F15" s="5" t="s">
        <v>67</v>
      </c>
      <c r="G15" s="6" t="s">
        <v>34</v>
      </c>
      <c r="H15" s="6" t="s">
        <v>19</v>
      </c>
      <c r="I15" s="6" t="s">
        <v>35</v>
      </c>
      <c r="J15" s="6" t="s">
        <v>21</v>
      </c>
      <c r="K15" s="5"/>
      <c r="L15" s="5"/>
    </row>
    <row r="16" customFormat="false" ht="42" hidden="false" customHeight="true" outlineLevel="0" collapsed="false">
      <c r="A16" s="7" t="n">
        <v>13</v>
      </c>
      <c r="B16" s="8" t="s">
        <v>68</v>
      </c>
      <c r="C16" s="8" t="s">
        <v>69</v>
      </c>
      <c r="D16" s="8" t="s">
        <v>57</v>
      </c>
      <c r="E16" s="8" t="s">
        <v>70</v>
      </c>
      <c r="F16" s="8" t="s">
        <v>71</v>
      </c>
      <c r="G16" s="9" t="s">
        <v>34</v>
      </c>
      <c r="H16" s="9" t="s">
        <v>19</v>
      </c>
      <c r="I16" s="9" t="s">
        <v>43</v>
      </c>
      <c r="J16" s="9" t="s">
        <v>21</v>
      </c>
      <c r="K16" s="8"/>
      <c r="L16" s="8"/>
    </row>
    <row r="17" customFormat="false" ht="42" hidden="false" customHeight="true" outlineLevel="0" collapsed="false">
      <c r="A17" s="4" t="n">
        <v>14</v>
      </c>
      <c r="B17" s="5" t="s">
        <v>72</v>
      </c>
      <c r="C17" s="5" t="s">
        <v>73</v>
      </c>
      <c r="D17" s="5" t="s">
        <v>57</v>
      </c>
      <c r="E17" s="5" t="s">
        <v>74</v>
      </c>
      <c r="F17" s="5" t="s">
        <v>75</v>
      </c>
      <c r="G17" s="6" t="s">
        <v>34</v>
      </c>
      <c r="H17" s="6" t="s">
        <v>19</v>
      </c>
      <c r="I17" s="6" t="s">
        <v>35</v>
      </c>
      <c r="J17" s="6" t="s">
        <v>21</v>
      </c>
      <c r="K17" s="5"/>
      <c r="L17" s="5"/>
    </row>
    <row r="18" customFormat="false" ht="42" hidden="false" customHeight="true" outlineLevel="0" collapsed="false">
      <c r="A18" s="7" t="n">
        <v>15</v>
      </c>
      <c r="B18" s="8" t="s">
        <v>76</v>
      </c>
      <c r="C18" s="8" t="s">
        <v>77</v>
      </c>
      <c r="D18" s="8" t="s">
        <v>57</v>
      </c>
      <c r="E18" s="8" t="s">
        <v>78</v>
      </c>
      <c r="F18" s="8" t="s">
        <v>79</v>
      </c>
      <c r="G18" s="9" t="s">
        <v>34</v>
      </c>
      <c r="H18" s="9" t="s">
        <v>19</v>
      </c>
      <c r="I18" s="9" t="s">
        <v>43</v>
      </c>
      <c r="J18" s="9" t="s">
        <v>21</v>
      </c>
      <c r="K18" s="8"/>
      <c r="L18" s="8"/>
    </row>
    <row r="19" customFormat="false" ht="42" hidden="false" customHeight="true" outlineLevel="0" collapsed="false">
      <c r="A19" s="4" t="n">
        <v>16</v>
      </c>
      <c r="B19" s="5" t="s">
        <v>80</v>
      </c>
      <c r="C19" s="5" t="s">
        <v>81</v>
      </c>
      <c r="D19" s="5" t="s">
        <v>57</v>
      </c>
      <c r="E19" s="5" t="s">
        <v>82</v>
      </c>
      <c r="F19" s="5" t="s">
        <v>83</v>
      </c>
      <c r="G19" s="6" t="s">
        <v>34</v>
      </c>
      <c r="H19" s="6" t="s">
        <v>19</v>
      </c>
      <c r="I19" s="6" t="s">
        <v>43</v>
      </c>
      <c r="J19" s="6" t="s">
        <v>21</v>
      </c>
      <c r="K19" s="5"/>
      <c r="L19" s="5"/>
    </row>
    <row r="20" customFormat="false" ht="15.75" hidden="false" customHeight="true" outlineLevel="0" collapsed="false">
      <c r="A20" s="2" t="s">
        <v>84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42" hidden="false" customHeight="true" outlineLevel="0" collapsed="false">
      <c r="A21" s="4" t="n">
        <v>17</v>
      </c>
      <c r="B21" s="5" t="s">
        <v>85</v>
      </c>
      <c r="C21" s="5" t="s">
        <v>86</v>
      </c>
      <c r="D21" s="5" t="s">
        <v>87</v>
      </c>
      <c r="E21" s="5" t="s">
        <v>88</v>
      </c>
      <c r="F21" s="5" t="s">
        <v>89</v>
      </c>
      <c r="G21" s="6" t="s">
        <v>34</v>
      </c>
      <c r="H21" s="6" t="s">
        <v>19</v>
      </c>
      <c r="I21" s="6" t="s">
        <v>43</v>
      </c>
      <c r="J21" s="6" t="s">
        <v>21</v>
      </c>
      <c r="K21" s="5"/>
      <c r="L21" s="5"/>
    </row>
    <row r="22" customFormat="false" ht="42" hidden="false" customHeight="true" outlineLevel="0" collapsed="false">
      <c r="A22" s="7" t="n">
        <v>18</v>
      </c>
      <c r="B22" s="8" t="s">
        <v>90</v>
      </c>
      <c r="C22" s="8" t="s">
        <v>91</v>
      </c>
      <c r="D22" s="8" t="s">
        <v>87</v>
      </c>
      <c r="E22" s="8" t="s">
        <v>92</v>
      </c>
      <c r="F22" s="8" t="s">
        <v>93</v>
      </c>
      <c r="G22" s="9" t="s">
        <v>34</v>
      </c>
      <c r="H22" s="9" t="s">
        <v>19</v>
      </c>
      <c r="I22" s="9" t="s">
        <v>94</v>
      </c>
      <c r="J22" s="9" t="s">
        <v>21</v>
      </c>
      <c r="K22" s="8"/>
      <c r="L22" s="8"/>
    </row>
    <row r="23" customFormat="false" ht="42" hidden="false" customHeight="true" outlineLevel="0" collapsed="false">
      <c r="A23" s="4" t="n">
        <v>19</v>
      </c>
      <c r="B23" s="5" t="s">
        <v>95</v>
      </c>
      <c r="C23" s="5" t="s">
        <v>96</v>
      </c>
      <c r="D23" s="5" t="s">
        <v>87</v>
      </c>
      <c r="E23" s="5" t="s">
        <v>97</v>
      </c>
      <c r="F23" s="5" t="s">
        <v>98</v>
      </c>
      <c r="G23" s="6" t="s">
        <v>34</v>
      </c>
      <c r="H23" s="6" t="s">
        <v>19</v>
      </c>
      <c r="I23" s="6" t="s">
        <v>35</v>
      </c>
      <c r="J23" s="6" t="s">
        <v>21</v>
      </c>
      <c r="K23" s="5"/>
      <c r="L23" s="5"/>
    </row>
    <row r="24" customFormat="false" ht="42" hidden="false" customHeight="true" outlineLevel="0" collapsed="false">
      <c r="A24" s="7" t="n">
        <v>20</v>
      </c>
      <c r="B24" s="8" t="s">
        <v>99</v>
      </c>
      <c r="C24" s="8" t="s">
        <v>100</v>
      </c>
      <c r="D24" s="8" t="s">
        <v>87</v>
      </c>
      <c r="E24" s="8" t="s">
        <v>101</v>
      </c>
      <c r="F24" s="8" t="s">
        <v>102</v>
      </c>
      <c r="G24" s="9" t="s">
        <v>34</v>
      </c>
      <c r="H24" s="9" t="s">
        <v>19</v>
      </c>
      <c r="I24" s="9" t="s">
        <v>103</v>
      </c>
      <c r="J24" s="9" t="s">
        <v>21</v>
      </c>
      <c r="K24" s="8"/>
      <c r="L24" s="8"/>
    </row>
    <row r="25" customFormat="false" ht="42" hidden="false" customHeight="true" outlineLevel="0" collapsed="false">
      <c r="A25" s="4" t="n">
        <v>21</v>
      </c>
      <c r="B25" s="5" t="s">
        <v>104</v>
      </c>
      <c r="C25" s="5" t="s">
        <v>105</v>
      </c>
      <c r="D25" s="5" t="s">
        <v>87</v>
      </c>
      <c r="E25" s="5" t="s">
        <v>106</v>
      </c>
      <c r="F25" s="5" t="s">
        <v>107</v>
      </c>
      <c r="G25" s="6" t="s">
        <v>34</v>
      </c>
      <c r="H25" s="6" t="s">
        <v>19</v>
      </c>
      <c r="I25" s="6" t="s">
        <v>103</v>
      </c>
      <c r="J25" s="6" t="s">
        <v>21</v>
      </c>
      <c r="K25" s="5"/>
      <c r="L25" s="5"/>
    </row>
    <row r="26" customFormat="false" ht="42" hidden="false" customHeight="true" outlineLevel="0" collapsed="false">
      <c r="A26" s="7" t="n">
        <v>22</v>
      </c>
      <c r="B26" s="8" t="s">
        <v>108</v>
      </c>
      <c r="C26" s="8" t="s">
        <v>109</v>
      </c>
      <c r="D26" s="8" t="s">
        <v>87</v>
      </c>
      <c r="E26" s="8" t="s">
        <v>110</v>
      </c>
      <c r="F26" s="8" t="s">
        <v>111</v>
      </c>
      <c r="G26" s="9" t="s">
        <v>34</v>
      </c>
      <c r="H26" s="9" t="s">
        <v>19</v>
      </c>
      <c r="I26" s="9" t="s">
        <v>103</v>
      </c>
      <c r="J26" s="9" t="s">
        <v>21</v>
      </c>
      <c r="K26" s="8"/>
      <c r="L26" s="8"/>
    </row>
    <row r="27" customFormat="false" ht="42" hidden="false" customHeight="true" outlineLevel="0" collapsed="false">
      <c r="A27" s="4" t="n">
        <v>23</v>
      </c>
      <c r="B27" s="5" t="s">
        <v>112</v>
      </c>
      <c r="C27" s="5" t="s">
        <v>113</v>
      </c>
      <c r="D27" s="5" t="s">
        <v>87</v>
      </c>
      <c r="E27" s="5" t="s">
        <v>114</v>
      </c>
      <c r="F27" s="5" t="s">
        <v>115</v>
      </c>
      <c r="G27" s="6" t="s">
        <v>34</v>
      </c>
      <c r="H27" s="6" t="s">
        <v>19</v>
      </c>
      <c r="I27" s="6" t="s">
        <v>43</v>
      </c>
      <c r="J27" s="6" t="s">
        <v>21</v>
      </c>
      <c r="K27" s="5"/>
      <c r="L27" s="5"/>
    </row>
    <row r="28" customFormat="false" ht="15.75" hidden="false" customHeight="true" outlineLevel="0" collapsed="false">
      <c r="A28" s="2" t="s">
        <v>116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42" hidden="false" customHeight="true" outlineLevel="0" collapsed="false">
      <c r="A29" s="4" t="n">
        <v>24</v>
      </c>
      <c r="B29" s="5" t="s">
        <v>117</v>
      </c>
      <c r="C29" s="5" t="s">
        <v>118</v>
      </c>
      <c r="D29" s="5" t="s">
        <v>119</v>
      </c>
      <c r="E29" s="5" t="s">
        <v>120</v>
      </c>
      <c r="F29" s="5" t="s">
        <v>121</v>
      </c>
      <c r="G29" s="6" t="s">
        <v>34</v>
      </c>
      <c r="H29" s="6" t="s">
        <v>19</v>
      </c>
      <c r="I29" s="6" t="s">
        <v>43</v>
      </c>
      <c r="J29" s="6" t="s">
        <v>21</v>
      </c>
      <c r="K29" s="5"/>
      <c r="L29" s="5"/>
    </row>
    <row r="30" customFormat="false" ht="42" hidden="false" customHeight="true" outlineLevel="0" collapsed="false">
      <c r="A30" s="7" t="n">
        <v>25</v>
      </c>
      <c r="B30" s="8" t="s">
        <v>122</v>
      </c>
      <c r="C30" s="8" t="s">
        <v>123</v>
      </c>
      <c r="D30" s="8" t="s">
        <v>119</v>
      </c>
      <c r="E30" s="8" t="s">
        <v>124</v>
      </c>
      <c r="F30" s="8" t="s">
        <v>125</v>
      </c>
      <c r="G30" s="9" t="s">
        <v>34</v>
      </c>
      <c r="H30" s="9" t="s">
        <v>19</v>
      </c>
      <c r="I30" s="9" t="s">
        <v>35</v>
      </c>
      <c r="J30" s="9" t="s">
        <v>21</v>
      </c>
      <c r="K30" s="8"/>
      <c r="L30" s="8"/>
    </row>
    <row r="31" customFormat="false" ht="42" hidden="false" customHeight="true" outlineLevel="0" collapsed="false">
      <c r="A31" s="4" t="n">
        <v>26</v>
      </c>
      <c r="B31" s="5" t="s">
        <v>126</v>
      </c>
      <c r="C31" s="5" t="s">
        <v>127</v>
      </c>
      <c r="D31" s="5" t="s">
        <v>119</v>
      </c>
      <c r="E31" s="5" t="s">
        <v>128</v>
      </c>
      <c r="F31" s="5" t="s">
        <v>129</v>
      </c>
      <c r="G31" s="6" t="s">
        <v>34</v>
      </c>
      <c r="H31" s="6" t="s">
        <v>19</v>
      </c>
      <c r="I31" s="6" t="s">
        <v>43</v>
      </c>
      <c r="J31" s="6" t="s">
        <v>21</v>
      </c>
      <c r="K31" s="5"/>
      <c r="L31" s="5"/>
    </row>
    <row r="32" customFormat="false" ht="42" hidden="false" customHeight="true" outlineLevel="0" collapsed="false">
      <c r="A32" s="7" t="n">
        <v>27</v>
      </c>
      <c r="B32" s="8" t="s">
        <v>130</v>
      </c>
      <c r="C32" s="8" t="s">
        <v>131</v>
      </c>
      <c r="D32" s="8" t="s">
        <v>119</v>
      </c>
      <c r="E32" s="8" t="s">
        <v>132</v>
      </c>
      <c r="F32" s="8" t="s">
        <v>133</v>
      </c>
      <c r="G32" s="9" t="s">
        <v>34</v>
      </c>
      <c r="H32" s="9" t="s">
        <v>19</v>
      </c>
      <c r="I32" s="9" t="s">
        <v>43</v>
      </c>
      <c r="J32" s="9" t="s">
        <v>21</v>
      </c>
      <c r="K32" s="8"/>
      <c r="L32" s="8"/>
    </row>
    <row r="33" customFormat="false" ht="42" hidden="false" customHeight="true" outlineLevel="0" collapsed="false">
      <c r="A33" s="4" t="n">
        <v>28</v>
      </c>
      <c r="B33" s="5" t="s">
        <v>134</v>
      </c>
      <c r="C33" s="5" t="s">
        <v>135</v>
      </c>
      <c r="D33" s="5" t="s">
        <v>119</v>
      </c>
      <c r="E33" s="5" t="s">
        <v>136</v>
      </c>
      <c r="F33" s="5" t="s">
        <v>137</v>
      </c>
      <c r="G33" s="6" t="s">
        <v>34</v>
      </c>
      <c r="H33" s="6" t="s">
        <v>19</v>
      </c>
      <c r="I33" s="6" t="s">
        <v>35</v>
      </c>
      <c r="J33" s="6" t="s">
        <v>21</v>
      </c>
      <c r="K33" s="5"/>
      <c r="L33" s="5"/>
    </row>
    <row r="34" customFormat="false" ht="42" hidden="false" customHeight="true" outlineLevel="0" collapsed="false">
      <c r="A34" s="7" t="n">
        <v>29</v>
      </c>
      <c r="B34" s="8" t="s">
        <v>138</v>
      </c>
      <c r="C34" s="8" t="s">
        <v>139</v>
      </c>
      <c r="D34" s="8" t="s">
        <v>119</v>
      </c>
      <c r="E34" s="8" t="s">
        <v>140</v>
      </c>
      <c r="F34" s="8" t="s">
        <v>141</v>
      </c>
      <c r="G34" s="9" t="s">
        <v>34</v>
      </c>
      <c r="H34" s="9" t="s">
        <v>19</v>
      </c>
      <c r="I34" s="9" t="s">
        <v>94</v>
      </c>
      <c r="J34" s="9" t="s">
        <v>21</v>
      </c>
      <c r="K34" s="8"/>
      <c r="L34" s="8"/>
    </row>
    <row r="35" customFormat="false" ht="15.75" hidden="false" customHeight="true" outlineLevel="0" collapsed="false">
      <c r="A35" s="2" t="s">
        <v>142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42" hidden="false" customHeight="true" outlineLevel="0" collapsed="false">
      <c r="A36" s="4" t="n">
        <v>30</v>
      </c>
      <c r="B36" s="5" t="s">
        <v>143</v>
      </c>
      <c r="C36" s="5" t="s">
        <v>144</v>
      </c>
      <c r="D36" s="5" t="s">
        <v>145</v>
      </c>
      <c r="E36" s="5" t="s">
        <v>146</v>
      </c>
      <c r="F36" s="5" t="s">
        <v>147</v>
      </c>
      <c r="G36" s="6" t="s">
        <v>34</v>
      </c>
      <c r="H36" s="6" t="s">
        <v>19</v>
      </c>
      <c r="I36" s="6" t="s">
        <v>43</v>
      </c>
      <c r="J36" s="6" t="s">
        <v>21</v>
      </c>
      <c r="K36" s="5"/>
      <c r="L36" s="5"/>
    </row>
    <row r="37" customFormat="false" ht="42" hidden="false" customHeight="true" outlineLevel="0" collapsed="false">
      <c r="A37" s="7" t="n">
        <v>31</v>
      </c>
      <c r="B37" s="8" t="s">
        <v>148</v>
      </c>
      <c r="C37" s="8" t="s">
        <v>149</v>
      </c>
      <c r="D37" s="8" t="s">
        <v>145</v>
      </c>
      <c r="E37" s="8" t="s">
        <v>150</v>
      </c>
      <c r="F37" s="8" t="s">
        <v>151</v>
      </c>
      <c r="G37" s="9" t="s">
        <v>34</v>
      </c>
      <c r="H37" s="9" t="s">
        <v>19</v>
      </c>
      <c r="I37" s="9" t="s">
        <v>43</v>
      </c>
      <c r="J37" s="9" t="s">
        <v>21</v>
      </c>
      <c r="K37" s="8"/>
      <c r="L37" s="8"/>
    </row>
    <row r="38" customFormat="false" ht="42" hidden="false" customHeight="true" outlineLevel="0" collapsed="false">
      <c r="A38" s="4" t="n">
        <v>32</v>
      </c>
      <c r="B38" s="5" t="s">
        <v>152</v>
      </c>
      <c r="C38" s="5" t="s">
        <v>153</v>
      </c>
      <c r="D38" s="5" t="s">
        <v>145</v>
      </c>
      <c r="E38" s="5" t="s">
        <v>154</v>
      </c>
      <c r="F38" s="5" t="s">
        <v>155</v>
      </c>
      <c r="G38" s="6" t="s">
        <v>34</v>
      </c>
      <c r="H38" s="6" t="s">
        <v>19</v>
      </c>
      <c r="I38" s="6" t="s">
        <v>103</v>
      </c>
      <c r="J38" s="6" t="s">
        <v>21</v>
      </c>
      <c r="K38" s="5"/>
      <c r="L38" s="5"/>
    </row>
    <row r="39" customFormat="false" ht="42" hidden="false" customHeight="true" outlineLevel="0" collapsed="false">
      <c r="A39" s="7" t="n">
        <v>33</v>
      </c>
      <c r="B39" s="8" t="s">
        <v>156</v>
      </c>
      <c r="C39" s="8" t="s">
        <v>157</v>
      </c>
      <c r="D39" s="8" t="s">
        <v>145</v>
      </c>
      <c r="E39" s="8" t="s">
        <v>158</v>
      </c>
      <c r="F39" s="8" t="s">
        <v>159</v>
      </c>
      <c r="G39" s="9" t="s">
        <v>34</v>
      </c>
      <c r="H39" s="9" t="s">
        <v>19</v>
      </c>
      <c r="I39" s="9" t="s">
        <v>43</v>
      </c>
      <c r="J39" s="9" t="s">
        <v>21</v>
      </c>
      <c r="K39" s="8"/>
      <c r="L39" s="8"/>
    </row>
    <row r="40" customFormat="false" ht="42" hidden="false" customHeight="true" outlineLevel="0" collapsed="false">
      <c r="A40" s="4" t="n">
        <v>34</v>
      </c>
      <c r="B40" s="5" t="s">
        <v>160</v>
      </c>
      <c r="C40" s="5" t="s">
        <v>161</v>
      </c>
      <c r="D40" s="5" t="s">
        <v>145</v>
      </c>
      <c r="E40" s="5" t="s">
        <v>162</v>
      </c>
      <c r="F40" s="5" t="s">
        <v>163</v>
      </c>
      <c r="G40" s="6" t="s">
        <v>34</v>
      </c>
      <c r="H40" s="6" t="s">
        <v>19</v>
      </c>
      <c r="I40" s="6" t="s">
        <v>103</v>
      </c>
      <c r="J40" s="6" t="s">
        <v>21</v>
      </c>
      <c r="K40" s="5"/>
      <c r="L40" s="5"/>
    </row>
    <row r="41" customFormat="false" ht="15.75" hidden="false" customHeight="true" outlineLevel="0" collapsed="false">
      <c r="A41" s="2" t="s">
        <v>164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customFormat="false" ht="42" hidden="false" customHeight="true" outlineLevel="0" collapsed="false">
      <c r="A42" s="4" t="n">
        <v>35</v>
      </c>
      <c r="B42" s="5" t="s">
        <v>165</v>
      </c>
      <c r="C42" s="5" t="s">
        <v>166</v>
      </c>
      <c r="D42" s="5" t="s">
        <v>164</v>
      </c>
      <c r="E42" s="5" t="s">
        <v>167</v>
      </c>
      <c r="F42" s="5" t="s">
        <v>168</v>
      </c>
      <c r="G42" s="6" t="s">
        <v>34</v>
      </c>
      <c r="H42" s="6" t="s">
        <v>19</v>
      </c>
      <c r="I42" s="6" t="s">
        <v>103</v>
      </c>
      <c r="J42" s="6" t="s">
        <v>21</v>
      </c>
      <c r="K42" s="5"/>
      <c r="L42" s="5"/>
    </row>
    <row r="43" customFormat="false" ht="42" hidden="false" customHeight="true" outlineLevel="0" collapsed="false">
      <c r="A43" s="7" t="n">
        <v>36</v>
      </c>
      <c r="B43" s="8" t="s">
        <v>169</v>
      </c>
      <c r="C43" s="8" t="s">
        <v>170</v>
      </c>
      <c r="D43" s="8" t="s">
        <v>164</v>
      </c>
      <c r="E43" s="8" t="s">
        <v>171</v>
      </c>
      <c r="F43" s="8" t="s">
        <v>172</v>
      </c>
      <c r="G43" s="9" t="s">
        <v>34</v>
      </c>
      <c r="H43" s="9" t="s">
        <v>19</v>
      </c>
      <c r="I43" s="9" t="s">
        <v>43</v>
      </c>
      <c r="J43" s="9" t="s">
        <v>21</v>
      </c>
      <c r="K43" s="8"/>
      <c r="L43" s="8"/>
    </row>
    <row r="44" customFormat="false" ht="42" hidden="false" customHeight="true" outlineLevel="0" collapsed="false">
      <c r="A44" s="4" t="n">
        <v>37</v>
      </c>
      <c r="B44" s="5" t="s">
        <v>173</v>
      </c>
      <c r="C44" s="5" t="s">
        <v>174</v>
      </c>
      <c r="D44" s="5" t="s">
        <v>164</v>
      </c>
      <c r="E44" s="5" t="s">
        <v>175</v>
      </c>
      <c r="F44" s="5" t="s">
        <v>176</v>
      </c>
      <c r="G44" s="6" t="s">
        <v>34</v>
      </c>
      <c r="H44" s="6" t="s">
        <v>19</v>
      </c>
      <c r="I44" s="6" t="s">
        <v>35</v>
      </c>
      <c r="J44" s="6" t="s">
        <v>21</v>
      </c>
      <c r="K44" s="5"/>
      <c r="L44" s="5"/>
    </row>
    <row r="45" customFormat="false" ht="42" hidden="false" customHeight="true" outlineLevel="0" collapsed="false">
      <c r="A45" s="7" t="n">
        <v>38</v>
      </c>
      <c r="B45" s="8" t="s">
        <v>177</v>
      </c>
      <c r="C45" s="8" t="s">
        <v>178</v>
      </c>
      <c r="D45" s="8" t="s">
        <v>164</v>
      </c>
      <c r="E45" s="8" t="s">
        <v>179</v>
      </c>
      <c r="F45" s="8" t="s">
        <v>180</v>
      </c>
      <c r="G45" s="9" t="s">
        <v>34</v>
      </c>
      <c r="H45" s="9" t="s">
        <v>19</v>
      </c>
      <c r="I45" s="9" t="s">
        <v>43</v>
      </c>
      <c r="J45" s="9" t="s">
        <v>21</v>
      </c>
      <c r="K45" s="8"/>
      <c r="L45" s="8"/>
    </row>
    <row r="46" customFormat="false" ht="42" hidden="false" customHeight="true" outlineLevel="0" collapsed="false">
      <c r="A46" s="4" t="n">
        <v>39</v>
      </c>
      <c r="B46" s="5" t="s">
        <v>181</v>
      </c>
      <c r="C46" s="5" t="s">
        <v>182</v>
      </c>
      <c r="D46" s="5" t="s">
        <v>164</v>
      </c>
      <c r="E46" s="5" t="s">
        <v>183</v>
      </c>
      <c r="F46" s="5" t="s">
        <v>184</v>
      </c>
      <c r="G46" s="6" t="s">
        <v>34</v>
      </c>
      <c r="H46" s="6" t="s">
        <v>19</v>
      </c>
      <c r="I46" s="6" t="s">
        <v>103</v>
      </c>
      <c r="J46" s="6" t="s">
        <v>21</v>
      </c>
      <c r="K46" s="5"/>
      <c r="L46" s="5"/>
    </row>
    <row r="47" customFormat="false" ht="42" hidden="false" customHeight="true" outlineLevel="0" collapsed="false">
      <c r="A47" s="7" t="n">
        <v>40</v>
      </c>
      <c r="B47" s="8" t="s">
        <v>185</v>
      </c>
      <c r="C47" s="8" t="s">
        <v>186</v>
      </c>
      <c r="D47" s="8" t="s">
        <v>164</v>
      </c>
      <c r="E47" s="8" t="s">
        <v>187</v>
      </c>
      <c r="F47" s="8" t="s">
        <v>188</v>
      </c>
      <c r="G47" s="9" t="s">
        <v>34</v>
      </c>
      <c r="H47" s="9" t="s">
        <v>19</v>
      </c>
      <c r="I47" s="9" t="s">
        <v>103</v>
      </c>
      <c r="J47" s="9" t="s">
        <v>21</v>
      </c>
      <c r="K47" s="8"/>
      <c r="L47" s="8"/>
    </row>
    <row r="48" customFormat="false" ht="42" hidden="false" customHeight="true" outlineLevel="0" collapsed="false">
      <c r="A48" s="4" t="n">
        <v>41</v>
      </c>
      <c r="B48" s="5" t="s">
        <v>189</v>
      </c>
      <c r="C48" s="5" t="s">
        <v>190</v>
      </c>
      <c r="D48" s="5" t="s">
        <v>164</v>
      </c>
      <c r="E48" s="5" t="s">
        <v>191</v>
      </c>
      <c r="F48" s="5" t="s">
        <v>192</v>
      </c>
      <c r="G48" s="6" t="s">
        <v>34</v>
      </c>
      <c r="H48" s="6" t="s">
        <v>19</v>
      </c>
      <c r="I48" s="6" t="s">
        <v>35</v>
      </c>
      <c r="J48" s="6" t="s">
        <v>21</v>
      </c>
      <c r="K48" s="5"/>
      <c r="L48" s="5"/>
    </row>
    <row r="49" customFormat="false" ht="42" hidden="false" customHeight="true" outlineLevel="0" collapsed="false">
      <c r="A49" s="7" t="n">
        <v>42</v>
      </c>
      <c r="B49" s="8" t="s">
        <v>193</v>
      </c>
      <c r="C49" s="8" t="s">
        <v>194</v>
      </c>
      <c r="D49" s="8" t="s">
        <v>164</v>
      </c>
      <c r="E49" s="8" t="s">
        <v>195</v>
      </c>
      <c r="F49" s="8" t="s">
        <v>196</v>
      </c>
      <c r="G49" s="9" t="s">
        <v>34</v>
      </c>
      <c r="H49" s="9" t="s">
        <v>19</v>
      </c>
      <c r="I49" s="9" t="s">
        <v>43</v>
      </c>
      <c r="J49" s="9" t="s">
        <v>21</v>
      </c>
      <c r="K49" s="8"/>
      <c r="L49" s="8"/>
    </row>
    <row r="50" customFormat="false" ht="15.75" hidden="false" customHeight="true" outlineLevel="0" collapsed="false">
      <c r="A50" s="2" t="s">
        <v>197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customFormat="false" ht="42" hidden="false" customHeight="true" outlineLevel="0" collapsed="false">
      <c r="A51" s="4" t="n">
        <v>43</v>
      </c>
      <c r="B51" s="5" t="s">
        <v>198</v>
      </c>
      <c r="C51" s="5" t="s">
        <v>199</v>
      </c>
      <c r="D51" s="5" t="s">
        <v>197</v>
      </c>
      <c r="E51" s="5" t="s">
        <v>200</v>
      </c>
      <c r="F51" s="5" t="s">
        <v>201</v>
      </c>
      <c r="G51" s="6" t="s">
        <v>34</v>
      </c>
      <c r="H51" s="6" t="s">
        <v>19</v>
      </c>
      <c r="I51" s="6" t="s">
        <v>43</v>
      </c>
      <c r="J51" s="6" t="s">
        <v>21</v>
      </c>
      <c r="K51" s="5"/>
      <c r="L51" s="5"/>
    </row>
    <row r="52" customFormat="false" ht="42" hidden="false" customHeight="true" outlineLevel="0" collapsed="false">
      <c r="A52" s="7" t="n">
        <v>44</v>
      </c>
      <c r="B52" s="8" t="s">
        <v>202</v>
      </c>
      <c r="C52" s="8" t="s">
        <v>199</v>
      </c>
      <c r="D52" s="8" t="s">
        <v>197</v>
      </c>
      <c r="E52" s="8" t="s">
        <v>203</v>
      </c>
      <c r="F52" s="8" t="s">
        <v>204</v>
      </c>
      <c r="G52" s="9" t="s">
        <v>34</v>
      </c>
      <c r="H52" s="9" t="s">
        <v>19</v>
      </c>
      <c r="I52" s="9" t="s">
        <v>43</v>
      </c>
      <c r="J52" s="9" t="s">
        <v>21</v>
      </c>
      <c r="K52" s="8"/>
      <c r="L52" s="8"/>
    </row>
    <row r="53" customFormat="false" ht="42" hidden="false" customHeight="true" outlineLevel="0" collapsed="false">
      <c r="A53" s="4" t="n">
        <v>45</v>
      </c>
      <c r="B53" s="5" t="s">
        <v>205</v>
      </c>
      <c r="C53" s="5" t="s">
        <v>199</v>
      </c>
      <c r="D53" s="5" t="s">
        <v>197</v>
      </c>
      <c r="E53" s="5" t="s">
        <v>206</v>
      </c>
      <c r="F53" s="5" t="s">
        <v>207</v>
      </c>
      <c r="G53" s="6" t="s">
        <v>34</v>
      </c>
      <c r="H53" s="6" t="s">
        <v>19</v>
      </c>
      <c r="I53" s="6" t="s">
        <v>103</v>
      </c>
      <c r="J53" s="6" t="s">
        <v>21</v>
      </c>
      <c r="K53" s="5"/>
      <c r="L53" s="5"/>
    </row>
    <row r="54" customFormat="false" ht="15.75" hidden="false" customHeight="true" outlineLevel="0" collapsed="false">
      <c r="A54" s="2" t="s">
        <v>208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customFormat="false" ht="42" hidden="false" customHeight="true" outlineLevel="0" collapsed="false">
      <c r="A55" s="4" t="n">
        <v>46</v>
      </c>
      <c r="B55" s="5" t="s">
        <v>209</v>
      </c>
      <c r="C55" s="5" t="s">
        <v>210</v>
      </c>
      <c r="D55" s="5" t="s">
        <v>211</v>
      </c>
      <c r="E55" s="5" t="s">
        <v>212</v>
      </c>
      <c r="F55" s="5" t="s">
        <v>213</v>
      </c>
      <c r="G55" s="6" t="s">
        <v>34</v>
      </c>
      <c r="H55" s="6" t="s">
        <v>19</v>
      </c>
      <c r="I55" s="6" t="s">
        <v>103</v>
      </c>
      <c r="J55" s="6" t="s">
        <v>21</v>
      </c>
      <c r="K55" s="5"/>
      <c r="L55" s="5"/>
    </row>
    <row r="56" customFormat="false" ht="42" hidden="false" customHeight="true" outlineLevel="0" collapsed="false">
      <c r="A56" s="7" t="n">
        <v>47</v>
      </c>
      <c r="B56" s="8" t="s">
        <v>214</v>
      </c>
      <c r="C56" s="8" t="s">
        <v>215</v>
      </c>
      <c r="D56" s="8" t="s">
        <v>211</v>
      </c>
      <c r="E56" s="8" t="s">
        <v>216</v>
      </c>
      <c r="F56" s="8" t="s">
        <v>217</v>
      </c>
      <c r="G56" s="9" t="s">
        <v>34</v>
      </c>
      <c r="H56" s="9" t="s">
        <v>19</v>
      </c>
      <c r="I56" s="9" t="s">
        <v>43</v>
      </c>
      <c r="J56" s="9" t="s">
        <v>21</v>
      </c>
      <c r="K56" s="8"/>
      <c r="L56" s="8"/>
    </row>
    <row r="57" customFormat="false" ht="42" hidden="false" customHeight="true" outlineLevel="0" collapsed="false">
      <c r="A57" s="4" t="n">
        <v>48</v>
      </c>
      <c r="B57" s="5" t="s">
        <v>218</v>
      </c>
      <c r="C57" s="5" t="s">
        <v>170</v>
      </c>
      <c r="D57" s="5" t="s">
        <v>211</v>
      </c>
      <c r="E57" s="5" t="s">
        <v>219</v>
      </c>
      <c r="F57" s="5" t="s">
        <v>220</v>
      </c>
      <c r="G57" s="6" t="s">
        <v>34</v>
      </c>
      <c r="H57" s="6" t="s">
        <v>19</v>
      </c>
      <c r="I57" s="6" t="s">
        <v>43</v>
      </c>
      <c r="J57" s="6" t="s">
        <v>21</v>
      </c>
      <c r="K57" s="5"/>
      <c r="L57" s="5"/>
    </row>
    <row r="58" customFormat="false" ht="15.75" hidden="false" customHeight="true" outlineLevel="0" collapsed="false">
      <c r="A58" s="2" t="s">
        <v>221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customFormat="false" ht="42" hidden="false" customHeight="true" outlineLevel="0" collapsed="false">
      <c r="A59" s="4" t="n">
        <v>49</v>
      </c>
      <c r="B59" s="5" t="s">
        <v>222</v>
      </c>
      <c r="C59" s="5" t="s">
        <v>223</v>
      </c>
      <c r="D59" s="5" t="s">
        <v>224</v>
      </c>
      <c r="E59" s="5" t="s">
        <v>225</v>
      </c>
      <c r="F59" s="5" t="s">
        <v>226</v>
      </c>
      <c r="G59" s="6" t="s">
        <v>34</v>
      </c>
      <c r="H59" s="6" t="s">
        <v>19</v>
      </c>
      <c r="I59" s="6" t="s">
        <v>43</v>
      </c>
      <c r="J59" s="6" t="s">
        <v>21</v>
      </c>
      <c r="K59" s="5"/>
      <c r="L59" s="5"/>
    </row>
    <row r="60" customFormat="false" ht="42" hidden="false" customHeight="true" outlineLevel="0" collapsed="false">
      <c r="A60" s="7" t="n">
        <v>50</v>
      </c>
      <c r="B60" s="8" t="s">
        <v>227</v>
      </c>
      <c r="C60" s="8" t="s">
        <v>228</v>
      </c>
      <c r="D60" s="8" t="s">
        <v>224</v>
      </c>
      <c r="E60" s="8" t="s">
        <v>229</v>
      </c>
      <c r="F60" s="8" t="s">
        <v>230</v>
      </c>
      <c r="G60" s="9" t="s">
        <v>34</v>
      </c>
      <c r="H60" s="9" t="s">
        <v>19</v>
      </c>
      <c r="I60" s="9" t="s">
        <v>43</v>
      </c>
      <c r="J60" s="9" t="s">
        <v>21</v>
      </c>
      <c r="K60" s="8"/>
      <c r="L60" s="8"/>
    </row>
    <row r="61" customFormat="false" ht="42" hidden="false" customHeight="true" outlineLevel="0" collapsed="false">
      <c r="A61" s="4" t="n">
        <v>51</v>
      </c>
      <c r="B61" s="5" t="s">
        <v>231</v>
      </c>
      <c r="C61" s="5" t="s">
        <v>232</v>
      </c>
      <c r="D61" s="5" t="s">
        <v>224</v>
      </c>
      <c r="E61" s="5" t="s">
        <v>233</v>
      </c>
      <c r="F61" s="5" t="s">
        <v>234</v>
      </c>
      <c r="G61" s="6" t="s">
        <v>34</v>
      </c>
      <c r="H61" s="6" t="s">
        <v>19</v>
      </c>
      <c r="I61" s="6" t="s">
        <v>43</v>
      </c>
      <c r="J61" s="6" t="s">
        <v>21</v>
      </c>
      <c r="K61" s="5"/>
      <c r="L61" s="5"/>
    </row>
    <row r="62" customFormat="false" ht="15.75" hidden="false" customHeight="true" outlineLevel="0" collapsed="false">
      <c r="A62" s="2" t="s">
        <v>235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customFormat="false" ht="42" hidden="false" customHeight="true" outlineLevel="0" collapsed="false">
      <c r="A63" s="4" t="n">
        <v>52</v>
      </c>
      <c r="B63" s="5" t="s">
        <v>236</v>
      </c>
      <c r="C63" s="5" t="s">
        <v>237</v>
      </c>
      <c r="D63" s="5" t="s">
        <v>238</v>
      </c>
      <c r="E63" s="5" t="s">
        <v>239</v>
      </c>
      <c r="F63" s="5" t="s">
        <v>240</v>
      </c>
      <c r="G63" s="6" t="s">
        <v>34</v>
      </c>
      <c r="H63" s="6" t="s">
        <v>19</v>
      </c>
      <c r="I63" s="6" t="s">
        <v>43</v>
      </c>
      <c r="J63" s="6" t="s">
        <v>21</v>
      </c>
      <c r="K63" s="5"/>
      <c r="L63" s="5"/>
    </row>
    <row r="64" customFormat="false" ht="42" hidden="false" customHeight="true" outlineLevel="0" collapsed="false">
      <c r="A64" s="7" t="n">
        <v>53</v>
      </c>
      <c r="B64" s="8" t="s">
        <v>241</v>
      </c>
      <c r="C64" s="8" t="s">
        <v>242</v>
      </c>
      <c r="D64" s="8" t="s">
        <v>238</v>
      </c>
      <c r="E64" s="8" t="s">
        <v>243</v>
      </c>
      <c r="F64" s="8" t="s">
        <v>244</v>
      </c>
      <c r="G64" s="9" t="s">
        <v>34</v>
      </c>
      <c r="H64" s="9" t="s">
        <v>19</v>
      </c>
      <c r="I64" s="9" t="s">
        <v>43</v>
      </c>
      <c r="J64" s="9" t="s">
        <v>21</v>
      </c>
      <c r="K64" s="8"/>
      <c r="L64" s="8"/>
    </row>
    <row r="65" customFormat="false" ht="42" hidden="false" customHeight="true" outlineLevel="0" collapsed="false">
      <c r="A65" s="4" t="n">
        <v>54</v>
      </c>
      <c r="B65" s="5" t="s">
        <v>245</v>
      </c>
      <c r="C65" s="5" t="s">
        <v>246</v>
      </c>
      <c r="D65" s="5" t="s">
        <v>238</v>
      </c>
      <c r="E65" s="5" t="s">
        <v>247</v>
      </c>
      <c r="F65" s="5" t="s">
        <v>248</v>
      </c>
      <c r="G65" s="6" t="s">
        <v>34</v>
      </c>
      <c r="H65" s="6" t="s">
        <v>19</v>
      </c>
      <c r="I65" s="6" t="s">
        <v>43</v>
      </c>
      <c r="J65" s="6" t="s">
        <v>21</v>
      </c>
      <c r="K65" s="5"/>
      <c r="L65" s="5"/>
    </row>
    <row r="66" customFormat="false" ht="42" hidden="false" customHeight="true" outlineLevel="0" collapsed="false">
      <c r="A66" s="7" t="n">
        <v>55</v>
      </c>
      <c r="B66" s="8" t="s">
        <v>249</v>
      </c>
      <c r="C66" s="8" t="s">
        <v>250</v>
      </c>
      <c r="D66" s="8" t="s">
        <v>238</v>
      </c>
      <c r="E66" s="8" t="s">
        <v>251</v>
      </c>
      <c r="F66" s="8" t="s">
        <v>252</v>
      </c>
      <c r="G66" s="9" t="s">
        <v>34</v>
      </c>
      <c r="H66" s="9" t="s">
        <v>19</v>
      </c>
      <c r="I66" s="9" t="s">
        <v>35</v>
      </c>
      <c r="J66" s="9" t="s">
        <v>21</v>
      </c>
      <c r="K66" s="8"/>
      <c r="L66" s="8"/>
    </row>
    <row r="67" customFormat="false" ht="42" hidden="false" customHeight="true" outlineLevel="0" collapsed="false">
      <c r="A67" s="4" t="n">
        <v>56</v>
      </c>
      <c r="B67" s="5" t="s">
        <v>253</v>
      </c>
      <c r="C67" s="5" t="s">
        <v>254</v>
      </c>
      <c r="D67" s="5" t="s">
        <v>238</v>
      </c>
      <c r="E67" s="5" t="s">
        <v>255</v>
      </c>
      <c r="F67" s="5" t="s">
        <v>256</v>
      </c>
      <c r="G67" s="6" t="s">
        <v>34</v>
      </c>
      <c r="H67" s="6" t="s">
        <v>19</v>
      </c>
      <c r="I67" s="6" t="s">
        <v>35</v>
      </c>
      <c r="J67" s="6" t="s">
        <v>21</v>
      </c>
      <c r="K67" s="5"/>
      <c r="L67" s="5"/>
    </row>
    <row r="68" customFormat="false" ht="42" hidden="false" customHeight="true" outlineLevel="0" collapsed="false">
      <c r="A68" s="7" t="n">
        <v>57</v>
      </c>
      <c r="B68" s="8" t="s">
        <v>257</v>
      </c>
      <c r="C68" s="8" t="s">
        <v>170</v>
      </c>
      <c r="D68" s="8" t="s">
        <v>238</v>
      </c>
      <c r="E68" s="8" t="s">
        <v>258</v>
      </c>
      <c r="F68" s="8" t="s">
        <v>259</v>
      </c>
      <c r="G68" s="9" t="s">
        <v>34</v>
      </c>
      <c r="H68" s="9" t="s">
        <v>19</v>
      </c>
      <c r="I68" s="9" t="s">
        <v>35</v>
      </c>
      <c r="J68" s="9" t="s">
        <v>21</v>
      </c>
      <c r="K68" s="8"/>
      <c r="L68" s="8"/>
    </row>
    <row r="69" customFormat="false" ht="42" hidden="false" customHeight="true" outlineLevel="0" collapsed="false">
      <c r="A69" s="4" t="n">
        <v>58</v>
      </c>
      <c r="B69" s="5" t="s">
        <v>260</v>
      </c>
      <c r="C69" s="5" t="s">
        <v>170</v>
      </c>
      <c r="D69" s="5" t="s">
        <v>238</v>
      </c>
      <c r="E69" s="5" t="s">
        <v>261</v>
      </c>
      <c r="F69" s="5" t="s">
        <v>262</v>
      </c>
      <c r="G69" s="6" t="s">
        <v>34</v>
      </c>
      <c r="H69" s="6" t="s">
        <v>19</v>
      </c>
      <c r="I69" s="6" t="s">
        <v>35</v>
      </c>
      <c r="J69" s="6" t="s">
        <v>21</v>
      </c>
      <c r="K69" s="5"/>
      <c r="L69" s="5"/>
    </row>
    <row r="70" customFormat="false" ht="42" hidden="false" customHeight="true" outlineLevel="0" collapsed="false">
      <c r="A70" s="7" t="n">
        <v>59</v>
      </c>
      <c r="B70" s="8" t="s">
        <v>263</v>
      </c>
      <c r="C70" s="8" t="s">
        <v>170</v>
      </c>
      <c r="D70" s="8" t="s">
        <v>238</v>
      </c>
      <c r="E70" s="8" t="s">
        <v>264</v>
      </c>
      <c r="F70" s="8" t="s">
        <v>265</v>
      </c>
      <c r="G70" s="9" t="s">
        <v>34</v>
      </c>
      <c r="H70" s="9" t="s">
        <v>19</v>
      </c>
      <c r="I70" s="9" t="s">
        <v>43</v>
      </c>
      <c r="J70" s="9" t="s">
        <v>21</v>
      </c>
      <c r="K70" s="8"/>
      <c r="L70" s="8"/>
    </row>
    <row r="71" customFormat="false" ht="42" hidden="false" customHeight="true" outlineLevel="0" collapsed="false">
      <c r="A71" s="4" t="n">
        <v>60</v>
      </c>
      <c r="B71" s="5" t="s">
        <v>266</v>
      </c>
      <c r="C71" s="5" t="s">
        <v>267</v>
      </c>
      <c r="D71" s="5" t="s">
        <v>238</v>
      </c>
      <c r="E71" s="5" t="s">
        <v>268</v>
      </c>
      <c r="F71" s="5" t="s">
        <v>269</v>
      </c>
      <c r="G71" s="6" t="s">
        <v>34</v>
      </c>
      <c r="H71" s="6" t="s">
        <v>19</v>
      </c>
      <c r="I71" s="6" t="s">
        <v>43</v>
      </c>
      <c r="J71" s="6" t="s">
        <v>21</v>
      </c>
      <c r="K71" s="5"/>
      <c r="L71" s="5"/>
    </row>
    <row r="72" customFormat="false" ht="42" hidden="false" customHeight="true" outlineLevel="0" collapsed="false">
      <c r="A72" s="7" t="n">
        <v>61</v>
      </c>
      <c r="B72" s="8" t="s">
        <v>270</v>
      </c>
      <c r="C72" s="8" t="s">
        <v>271</v>
      </c>
      <c r="D72" s="8" t="s">
        <v>238</v>
      </c>
      <c r="E72" s="8" t="s">
        <v>272</v>
      </c>
      <c r="F72" s="8" t="s">
        <v>273</v>
      </c>
      <c r="G72" s="9" t="s">
        <v>34</v>
      </c>
      <c r="H72" s="9" t="s">
        <v>19</v>
      </c>
      <c r="I72" s="9" t="s">
        <v>35</v>
      </c>
      <c r="J72" s="9" t="s">
        <v>21</v>
      </c>
      <c r="K72" s="8"/>
      <c r="L72" s="8"/>
    </row>
    <row r="73" customFormat="false" ht="15.75" hidden="false" customHeight="true" outlineLevel="0" collapsed="false">
      <c r="A73" s="2" t="s">
        <v>274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customFormat="false" ht="42" hidden="false" customHeight="true" outlineLevel="0" collapsed="false">
      <c r="A74" s="4" t="n">
        <v>62</v>
      </c>
      <c r="B74" s="5" t="s">
        <v>275</v>
      </c>
      <c r="C74" s="5" t="s">
        <v>276</v>
      </c>
      <c r="D74" s="5" t="s">
        <v>277</v>
      </c>
      <c r="E74" s="5" t="s">
        <v>278</v>
      </c>
      <c r="F74" s="5" t="s">
        <v>279</v>
      </c>
      <c r="G74" s="6" t="s">
        <v>34</v>
      </c>
      <c r="H74" s="6" t="s">
        <v>19</v>
      </c>
      <c r="I74" s="6" t="s">
        <v>43</v>
      </c>
      <c r="J74" s="6" t="s">
        <v>21</v>
      </c>
      <c r="K74" s="5"/>
      <c r="L74" s="5"/>
    </row>
    <row r="75" customFormat="false" ht="42" hidden="false" customHeight="true" outlineLevel="0" collapsed="false">
      <c r="A75" s="7" t="n">
        <v>63</v>
      </c>
      <c r="B75" s="8" t="s">
        <v>280</v>
      </c>
      <c r="C75" s="8" t="s">
        <v>281</v>
      </c>
      <c r="D75" s="8" t="s">
        <v>277</v>
      </c>
      <c r="E75" s="8" t="s">
        <v>282</v>
      </c>
      <c r="F75" s="8" t="s">
        <v>283</v>
      </c>
      <c r="G75" s="9" t="s">
        <v>34</v>
      </c>
      <c r="H75" s="9" t="s">
        <v>19</v>
      </c>
      <c r="I75" s="9" t="s">
        <v>94</v>
      </c>
      <c r="J75" s="9" t="s">
        <v>21</v>
      </c>
      <c r="K75" s="8"/>
      <c r="L75" s="8"/>
    </row>
    <row r="76" customFormat="false" ht="42" hidden="false" customHeight="true" outlineLevel="0" collapsed="false">
      <c r="A76" s="4" t="n">
        <v>64</v>
      </c>
      <c r="B76" s="5" t="s">
        <v>284</v>
      </c>
      <c r="C76" s="5" t="s">
        <v>285</v>
      </c>
      <c r="D76" s="5" t="s">
        <v>277</v>
      </c>
      <c r="E76" s="5" t="s">
        <v>286</v>
      </c>
      <c r="F76" s="5" t="s">
        <v>287</v>
      </c>
      <c r="G76" s="6" t="s">
        <v>34</v>
      </c>
      <c r="H76" s="6" t="s">
        <v>19</v>
      </c>
      <c r="I76" s="6" t="s">
        <v>43</v>
      </c>
      <c r="J76" s="6" t="s">
        <v>21</v>
      </c>
      <c r="K76" s="5"/>
      <c r="L76" s="5"/>
    </row>
    <row r="77" customFormat="false" ht="42" hidden="false" customHeight="true" outlineLevel="0" collapsed="false">
      <c r="A77" s="7" t="n">
        <v>65</v>
      </c>
      <c r="B77" s="8" t="s">
        <v>288</v>
      </c>
      <c r="C77" s="8" t="s">
        <v>289</v>
      </c>
      <c r="D77" s="8" t="s">
        <v>277</v>
      </c>
      <c r="E77" s="8" t="s">
        <v>290</v>
      </c>
      <c r="F77" s="8" t="s">
        <v>291</v>
      </c>
      <c r="G77" s="9" t="s">
        <v>34</v>
      </c>
      <c r="H77" s="9" t="s">
        <v>19</v>
      </c>
      <c r="I77" s="9" t="s">
        <v>43</v>
      </c>
      <c r="J77" s="9" t="s">
        <v>21</v>
      </c>
      <c r="K77" s="8"/>
      <c r="L77" s="8"/>
    </row>
    <row r="78" customFormat="false" ht="15.75" hidden="false" customHeight="true" outlineLevel="0" collapsed="false">
      <c r="A78" s="2" t="s">
        <v>292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customFormat="false" ht="42" hidden="false" customHeight="true" outlineLevel="0" collapsed="false">
      <c r="A79" s="4" t="n">
        <v>66</v>
      </c>
      <c r="B79" s="5" t="s">
        <v>293</v>
      </c>
      <c r="C79" s="5" t="s">
        <v>294</v>
      </c>
      <c r="D79" s="5" t="s">
        <v>295</v>
      </c>
      <c r="E79" s="5" t="s">
        <v>296</v>
      </c>
      <c r="F79" s="5" t="s">
        <v>297</v>
      </c>
      <c r="G79" s="6" t="s">
        <v>34</v>
      </c>
      <c r="H79" s="6" t="s">
        <v>19</v>
      </c>
      <c r="I79" s="6" t="s">
        <v>35</v>
      </c>
      <c r="J79" s="6" t="s">
        <v>21</v>
      </c>
      <c r="K79" s="5"/>
      <c r="L79" s="5"/>
    </row>
    <row r="80" customFormat="false" ht="42" hidden="false" customHeight="true" outlineLevel="0" collapsed="false">
      <c r="A80" s="7" t="n">
        <v>67</v>
      </c>
      <c r="B80" s="8" t="s">
        <v>298</v>
      </c>
      <c r="C80" s="8" t="s">
        <v>56</v>
      </c>
      <c r="D80" s="8" t="s">
        <v>295</v>
      </c>
      <c r="E80" s="8" t="s">
        <v>299</v>
      </c>
      <c r="F80" s="8" t="s">
        <v>300</v>
      </c>
      <c r="G80" s="9" t="s">
        <v>34</v>
      </c>
      <c r="H80" s="9" t="s">
        <v>19</v>
      </c>
      <c r="I80" s="9" t="s">
        <v>43</v>
      </c>
      <c r="J80" s="9" t="s">
        <v>21</v>
      </c>
      <c r="K80" s="8"/>
      <c r="L80" s="8"/>
    </row>
    <row r="81" customFormat="false" ht="42" hidden="false" customHeight="true" outlineLevel="0" collapsed="false">
      <c r="A81" s="4" t="n">
        <v>68</v>
      </c>
      <c r="B81" s="5" t="s">
        <v>301</v>
      </c>
      <c r="C81" s="5" t="s">
        <v>302</v>
      </c>
      <c r="D81" s="5" t="s">
        <v>295</v>
      </c>
      <c r="E81" s="5" t="s">
        <v>303</v>
      </c>
      <c r="F81" s="5" t="s">
        <v>304</v>
      </c>
      <c r="G81" s="6" t="s">
        <v>34</v>
      </c>
      <c r="H81" s="6" t="s">
        <v>19</v>
      </c>
      <c r="I81" s="6" t="s">
        <v>43</v>
      </c>
      <c r="J81" s="6" t="s">
        <v>21</v>
      </c>
      <c r="K81" s="5"/>
      <c r="L81" s="5"/>
    </row>
  </sheetData>
  <autoFilter ref="A1:L81"/>
  <dataValidations count="4">
    <dataValidation allowBlank="false" errorStyle="stop" operator="between" showDropDown="false" showErrorMessage="false" showInputMessage="false" sqref="J2:J282" type="list">
      <formula1>"Not Started,In Progress,Pass,Fail,N/A"</formula1>
      <formula2>0</formula2>
    </dataValidation>
    <dataValidation allowBlank="false" errorStyle="stop" operator="between" showDropDown="false" showErrorMessage="false" showInputMessage="false" sqref="I2:I282" type="list">
      <formula1>"Critical,High,Medium,Low,Info"</formula1>
      <formula2>0</formula2>
    </dataValidation>
    <dataValidation allowBlank="false" errorStyle="stop" operator="between" showDropDown="false" showErrorMessage="false" showInputMessage="false" sqref="G2:G282" type="list">
      <formula1>"Black-Box,Scoped,Both"</formula1>
      <formula2>0</formula2>
    </dataValidation>
    <dataValidation allowBlank="false" errorStyle="stop" operator="between" showDropDown="false" showErrorMessage="false" showInputMessage="false" sqref="H2:H282" type="list">
      <formula1>"Test,Setup"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305</v>
      </c>
      <c r="E1" s="1" t="s">
        <v>4</v>
      </c>
      <c r="F1" s="1" t="s">
        <v>5</v>
      </c>
      <c r="G1" s="1" t="s">
        <v>306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.75" hidden="false" customHeight="true" outlineLevel="0" collapsed="false">
      <c r="A2" s="2" t="s">
        <v>307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42" hidden="false" customHeight="true" outlineLevel="0" collapsed="false">
      <c r="A3" s="4" t="n">
        <v>1</v>
      </c>
      <c r="B3" s="5" t="s">
        <v>308</v>
      </c>
      <c r="C3" s="5" t="s">
        <v>91</v>
      </c>
      <c r="D3" s="5" t="s">
        <v>309</v>
      </c>
      <c r="E3" s="5" t="s">
        <v>310</v>
      </c>
      <c r="F3" s="5" t="s">
        <v>311</v>
      </c>
      <c r="G3" s="6" t="s">
        <v>312</v>
      </c>
      <c r="H3" s="6" t="s">
        <v>313</v>
      </c>
      <c r="I3" s="6" t="s">
        <v>19</v>
      </c>
      <c r="J3" s="6" t="s">
        <v>43</v>
      </c>
      <c r="K3" s="5" t="s">
        <v>21</v>
      </c>
      <c r="L3" s="5"/>
      <c r="M3" s="5"/>
    </row>
    <row r="4" customFormat="false" ht="42" hidden="false" customHeight="true" outlineLevel="0" collapsed="false">
      <c r="A4" s="7" t="n">
        <v>2</v>
      </c>
      <c r="B4" s="8" t="s">
        <v>314</v>
      </c>
      <c r="C4" s="8" t="s">
        <v>86</v>
      </c>
      <c r="D4" s="8" t="s">
        <v>309</v>
      </c>
      <c r="E4" s="8" t="s">
        <v>315</v>
      </c>
      <c r="F4" s="8" t="s">
        <v>316</v>
      </c>
      <c r="G4" s="9" t="s">
        <v>312</v>
      </c>
      <c r="H4" s="9" t="s">
        <v>313</v>
      </c>
      <c r="I4" s="9" t="s">
        <v>19</v>
      </c>
      <c r="J4" s="9" t="s">
        <v>43</v>
      </c>
      <c r="K4" s="8" t="s">
        <v>21</v>
      </c>
      <c r="L4" s="8"/>
      <c r="M4" s="8"/>
    </row>
    <row r="5" customFormat="false" ht="42" hidden="false" customHeight="true" outlineLevel="0" collapsed="false">
      <c r="A5" s="4" t="n">
        <v>3</v>
      </c>
      <c r="B5" s="5" t="s">
        <v>317</v>
      </c>
      <c r="C5" s="5" t="s">
        <v>96</v>
      </c>
      <c r="D5" s="5" t="s">
        <v>309</v>
      </c>
      <c r="E5" s="5" t="s">
        <v>318</v>
      </c>
      <c r="F5" s="5" t="s">
        <v>319</v>
      </c>
      <c r="G5" s="6" t="s">
        <v>312</v>
      </c>
      <c r="H5" s="6" t="s">
        <v>313</v>
      </c>
      <c r="I5" s="6" t="s">
        <v>19</v>
      </c>
      <c r="J5" s="6" t="s">
        <v>35</v>
      </c>
      <c r="K5" s="5" t="s">
        <v>21</v>
      </c>
      <c r="L5" s="5"/>
      <c r="M5" s="5"/>
    </row>
    <row r="6" customFormat="false" ht="42" hidden="false" customHeight="true" outlineLevel="0" collapsed="false">
      <c r="A6" s="7" t="n">
        <v>4</v>
      </c>
      <c r="B6" s="8" t="s">
        <v>320</v>
      </c>
      <c r="C6" s="8" t="s">
        <v>109</v>
      </c>
      <c r="D6" s="8" t="s">
        <v>309</v>
      </c>
      <c r="E6" s="8" t="s">
        <v>110</v>
      </c>
      <c r="F6" s="8" t="s">
        <v>321</v>
      </c>
      <c r="G6" s="9" t="s">
        <v>312</v>
      </c>
      <c r="H6" s="9" t="s">
        <v>313</v>
      </c>
      <c r="I6" s="9" t="s">
        <v>19</v>
      </c>
      <c r="J6" s="9" t="s">
        <v>103</v>
      </c>
      <c r="K6" s="8" t="s">
        <v>21</v>
      </c>
      <c r="L6" s="8"/>
      <c r="M6" s="8"/>
    </row>
    <row r="7" customFormat="false" ht="42" hidden="false" customHeight="true" outlineLevel="0" collapsed="false">
      <c r="A7" s="4" t="n">
        <v>5</v>
      </c>
      <c r="B7" s="5" t="s">
        <v>322</v>
      </c>
      <c r="C7" s="5" t="s">
        <v>91</v>
      </c>
      <c r="D7" s="5" t="s">
        <v>309</v>
      </c>
      <c r="E7" s="5" t="s">
        <v>323</v>
      </c>
      <c r="F7" s="5" t="s">
        <v>324</v>
      </c>
      <c r="G7" s="6" t="s">
        <v>312</v>
      </c>
      <c r="H7" s="6" t="s">
        <v>313</v>
      </c>
      <c r="I7" s="6" t="s">
        <v>19</v>
      </c>
      <c r="J7" s="6" t="s">
        <v>94</v>
      </c>
      <c r="K7" s="5" t="s">
        <v>21</v>
      </c>
      <c r="L7" s="5"/>
      <c r="M7" s="5"/>
    </row>
    <row r="8" customFormat="false" ht="42" hidden="false" customHeight="true" outlineLevel="0" collapsed="false">
      <c r="A8" s="7" t="n">
        <v>6</v>
      </c>
      <c r="B8" s="8" t="s">
        <v>325</v>
      </c>
      <c r="C8" s="8" t="s">
        <v>223</v>
      </c>
      <c r="D8" s="8" t="s">
        <v>326</v>
      </c>
      <c r="E8" s="8" t="s">
        <v>327</v>
      </c>
      <c r="F8" s="8" t="s">
        <v>328</v>
      </c>
      <c r="G8" s="9" t="s">
        <v>312</v>
      </c>
      <c r="H8" s="9" t="s">
        <v>313</v>
      </c>
      <c r="I8" s="9" t="s">
        <v>19</v>
      </c>
      <c r="J8" s="9" t="s">
        <v>43</v>
      </c>
      <c r="K8" s="8" t="s">
        <v>21</v>
      </c>
      <c r="L8" s="8"/>
      <c r="M8" s="8"/>
    </row>
    <row r="9" customFormat="false" ht="42" hidden="false" customHeight="true" outlineLevel="0" collapsed="false">
      <c r="A9" s="4" t="n">
        <v>7</v>
      </c>
      <c r="B9" s="5" t="s">
        <v>329</v>
      </c>
      <c r="C9" s="5" t="s">
        <v>174</v>
      </c>
      <c r="D9" s="5" t="s">
        <v>326</v>
      </c>
      <c r="E9" s="5" t="s">
        <v>330</v>
      </c>
      <c r="F9" s="5" t="s">
        <v>331</v>
      </c>
      <c r="G9" s="6" t="s">
        <v>312</v>
      </c>
      <c r="H9" s="6" t="s">
        <v>313</v>
      </c>
      <c r="I9" s="6" t="s">
        <v>19</v>
      </c>
      <c r="J9" s="6" t="s">
        <v>43</v>
      </c>
      <c r="K9" s="5" t="s">
        <v>21</v>
      </c>
      <c r="L9" s="5"/>
      <c r="M9" s="5"/>
    </row>
    <row r="10" customFormat="false" ht="42" hidden="false" customHeight="true" outlineLevel="0" collapsed="false">
      <c r="A10" s="7" t="n">
        <v>8</v>
      </c>
      <c r="B10" s="8" t="s">
        <v>332</v>
      </c>
      <c r="C10" s="8" t="s">
        <v>333</v>
      </c>
      <c r="D10" s="8" t="s">
        <v>326</v>
      </c>
      <c r="E10" s="8" t="s">
        <v>334</v>
      </c>
      <c r="F10" s="8" t="s">
        <v>335</v>
      </c>
      <c r="G10" s="9" t="s">
        <v>312</v>
      </c>
      <c r="H10" s="9" t="s">
        <v>313</v>
      </c>
      <c r="I10" s="9" t="s">
        <v>19</v>
      </c>
      <c r="J10" s="9" t="s">
        <v>35</v>
      </c>
      <c r="K10" s="8" t="s">
        <v>21</v>
      </c>
      <c r="L10" s="8"/>
      <c r="M10" s="8"/>
    </row>
    <row r="11" customFormat="false" ht="42" hidden="false" customHeight="true" outlineLevel="0" collapsed="false">
      <c r="A11" s="4" t="n">
        <v>9</v>
      </c>
      <c r="B11" s="5" t="s">
        <v>336</v>
      </c>
      <c r="C11" s="5" t="s">
        <v>105</v>
      </c>
      <c r="D11" s="5" t="s">
        <v>337</v>
      </c>
      <c r="E11" s="5" t="s">
        <v>338</v>
      </c>
      <c r="F11" s="5" t="s">
        <v>339</v>
      </c>
      <c r="G11" s="6" t="s">
        <v>312</v>
      </c>
      <c r="H11" s="6" t="s">
        <v>313</v>
      </c>
      <c r="I11" s="6" t="s">
        <v>19</v>
      </c>
      <c r="J11" s="6" t="s">
        <v>43</v>
      </c>
      <c r="K11" s="5" t="s">
        <v>21</v>
      </c>
      <c r="L11" s="5"/>
      <c r="M11" s="5"/>
    </row>
    <row r="12" customFormat="false" ht="42" hidden="false" customHeight="true" outlineLevel="0" collapsed="false">
      <c r="A12" s="7" t="n">
        <v>10</v>
      </c>
      <c r="B12" s="8" t="s">
        <v>340</v>
      </c>
      <c r="C12" s="8" t="s">
        <v>223</v>
      </c>
      <c r="D12" s="8" t="s">
        <v>337</v>
      </c>
      <c r="E12" s="8" t="s">
        <v>341</v>
      </c>
      <c r="F12" s="8" t="s">
        <v>342</v>
      </c>
      <c r="G12" s="9" t="s">
        <v>312</v>
      </c>
      <c r="H12" s="9" t="s">
        <v>313</v>
      </c>
      <c r="I12" s="9" t="s">
        <v>19</v>
      </c>
      <c r="J12" s="9" t="s">
        <v>43</v>
      </c>
      <c r="K12" s="8" t="s">
        <v>21</v>
      </c>
      <c r="L12" s="8"/>
      <c r="M12" s="8"/>
    </row>
    <row r="13" customFormat="false" ht="42" hidden="false" customHeight="true" outlineLevel="0" collapsed="false">
      <c r="A13" s="4" t="n">
        <v>11</v>
      </c>
      <c r="B13" s="5" t="s">
        <v>343</v>
      </c>
      <c r="C13" s="5" t="s">
        <v>344</v>
      </c>
      <c r="D13" s="5" t="s">
        <v>337</v>
      </c>
      <c r="E13" s="5" t="s">
        <v>345</v>
      </c>
      <c r="F13" s="5" t="s">
        <v>346</v>
      </c>
      <c r="G13" s="6" t="s">
        <v>312</v>
      </c>
      <c r="H13" s="6" t="s">
        <v>313</v>
      </c>
      <c r="I13" s="6" t="s">
        <v>19</v>
      </c>
      <c r="J13" s="6" t="s">
        <v>43</v>
      </c>
      <c r="K13" s="5" t="s">
        <v>21</v>
      </c>
      <c r="L13" s="5"/>
      <c r="M13" s="5"/>
    </row>
    <row r="14" customFormat="false" ht="42" hidden="false" customHeight="true" outlineLevel="0" collapsed="false">
      <c r="A14" s="7" t="n">
        <v>12</v>
      </c>
      <c r="B14" s="8" t="s">
        <v>347</v>
      </c>
      <c r="C14" s="8" t="s">
        <v>344</v>
      </c>
      <c r="D14" s="8" t="s">
        <v>348</v>
      </c>
      <c r="E14" s="8" t="s">
        <v>349</v>
      </c>
      <c r="F14" s="8" t="s">
        <v>350</v>
      </c>
      <c r="G14" s="9" t="s">
        <v>312</v>
      </c>
      <c r="H14" s="9" t="s">
        <v>313</v>
      </c>
      <c r="I14" s="9" t="s">
        <v>19</v>
      </c>
      <c r="J14" s="9" t="s">
        <v>43</v>
      </c>
      <c r="K14" s="8" t="s">
        <v>21</v>
      </c>
      <c r="L14" s="8"/>
      <c r="M14" s="8"/>
    </row>
    <row r="15" customFormat="false" ht="42" hidden="false" customHeight="true" outlineLevel="0" collapsed="false">
      <c r="A15" s="4" t="n">
        <v>13</v>
      </c>
      <c r="B15" s="5" t="s">
        <v>351</v>
      </c>
      <c r="C15" s="5" t="s">
        <v>144</v>
      </c>
      <c r="D15" s="5" t="s">
        <v>348</v>
      </c>
      <c r="E15" s="5" t="s">
        <v>352</v>
      </c>
      <c r="F15" s="5" t="s">
        <v>353</v>
      </c>
      <c r="G15" s="6" t="s">
        <v>312</v>
      </c>
      <c r="H15" s="6" t="s">
        <v>313</v>
      </c>
      <c r="I15" s="6" t="s">
        <v>19</v>
      </c>
      <c r="J15" s="6" t="s">
        <v>103</v>
      </c>
      <c r="K15" s="5" t="s">
        <v>21</v>
      </c>
      <c r="L15" s="5"/>
      <c r="M15" s="5"/>
    </row>
    <row r="16" customFormat="false" ht="42" hidden="false" customHeight="true" outlineLevel="0" collapsed="false">
      <c r="A16" s="7" t="n">
        <v>14</v>
      </c>
      <c r="B16" s="8" t="s">
        <v>354</v>
      </c>
      <c r="C16" s="8" t="s">
        <v>144</v>
      </c>
      <c r="D16" s="8" t="s">
        <v>355</v>
      </c>
      <c r="E16" s="8" t="s">
        <v>356</v>
      </c>
      <c r="F16" s="8" t="s">
        <v>357</v>
      </c>
      <c r="G16" s="9" t="s">
        <v>312</v>
      </c>
      <c r="H16" s="9" t="s">
        <v>313</v>
      </c>
      <c r="I16" s="9" t="s">
        <v>19</v>
      </c>
      <c r="J16" s="9" t="s">
        <v>43</v>
      </c>
      <c r="K16" s="8" t="s">
        <v>21</v>
      </c>
      <c r="L16" s="8"/>
      <c r="M16" s="8"/>
    </row>
    <row r="17" customFormat="false" ht="42" hidden="false" customHeight="true" outlineLevel="0" collapsed="false">
      <c r="A17" s="4" t="n">
        <v>15</v>
      </c>
      <c r="B17" s="5" t="s">
        <v>358</v>
      </c>
      <c r="C17" s="5" t="s">
        <v>144</v>
      </c>
      <c r="D17" s="5" t="s">
        <v>355</v>
      </c>
      <c r="E17" s="5" t="s">
        <v>359</v>
      </c>
      <c r="F17" s="5" t="s">
        <v>360</v>
      </c>
      <c r="G17" s="6" t="s">
        <v>312</v>
      </c>
      <c r="H17" s="6" t="s">
        <v>313</v>
      </c>
      <c r="I17" s="6" t="s">
        <v>19</v>
      </c>
      <c r="J17" s="6" t="s">
        <v>43</v>
      </c>
      <c r="K17" s="5" t="s">
        <v>21</v>
      </c>
      <c r="L17" s="5"/>
      <c r="M17" s="5"/>
    </row>
    <row r="18" customFormat="false" ht="42" hidden="false" customHeight="true" outlineLevel="0" collapsed="false">
      <c r="A18" s="7" t="n">
        <v>16</v>
      </c>
      <c r="B18" s="8" t="s">
        <v>361</v>
      </c>
      <c r="C18" s="8" t="s">
        <v>178</v>
      </c>
      <c r="D18" s="8" t="s">
        <v>355</v>
      </c>
      <c r="E18" s="8" t="s">
        <v>362</v>
      </c>
      <c r="F18" s="8" t="s">
        <v>363</v>
      </c>
      <c r="G18" s="9" t="s">
        <v>312</v>
      </c>
      <c r="H18" s="9" t="s">
        <v>313</v>
      </c>
      <c r="I18" s="9" t="s">
        <v>19</v>
      </c>
      <c r="J18" s="9" t="s">
        <v>43</v>
      </c>
      <c r="K18" s="8" t="s">
        <v>21</v>
      </c>
      <c r="L18" s="8"/>
      <c r="M18" s="8"/>
    </row>
    <row r="19" customFormat="false" ht="42" hidden="false" customHeight="true" outlineLevel="0" collapsed="false">
      <c r="A19" s="4" t="n">
        <v>17</v>
      </c>
      <c r="B19" s="5" t="s">
        <v>364</v>
      </c>
      <c r="C19" s="5" t="s">
        <v>135</v>
      </c>
      <c r="D19" s="5" t="s">
        <v>119</v>
      </c>
      <c r="E19" s="5" t="s">
        <v>365</v>
      </c>
      <c r="F19" s="5" t="s">
        <v>366</v>
      </c>
      <c r="G19" s="6" t="s">
        <v>312</v>
      </c>
      <c r="H19" s="6" t="s">
        <v>313</v>
      </c>
      <c r="I19" s="6" t="s">
        <v>19</v>
      </c>
      <c r="J19" s="6" t="s">
        <v>35</v>
      </c>
      <c r="K19" s="5" t="s">
        <v>21</v>
      </c>
      <c r="L19" s="5"/>
      <c r="M19" s="5"/>
    </row>
    <row r="20" customFormat="false" ht="42" hidden="false" customHeight="true" outlineLevel="0" collapsed="false">
      <c r="A20" s="7" t="n">
        <v>18</v>
      </c>
      <c r="B20" s="8" t="s">
        <v>367</v>
      </c>
      <c r="C20" s="8" t="s">
        <v>174</v>
      </c>
      <c r="D20" s="8" t="s">
        <v>119</v>
      </c>
      <c r="E20" s="8" t="s">
        <v>368</v>
      </c>
      <c r="F20" s="8" t="s">
        <v>369</v>
      </c>
      <c r="G20" s="9" t="s">
        <v>312</v>
      </c>
      <c r="H20" s="9" t="s">
        <v>313</v>
      </c>
      <c r="I20" s="9" t="s">
        <v>19</v>
      </c>
      <c r="J20" s="9" t="s">
        <v>35</v>
      </c>
      <c r="K20" s="8" t="s">
        <v>21</v>
      </c>
      <c r="L20" s="8"/>
      <c r="M20" s="8"/>
    </row>
    <row r="21" customFormat="false" ht="42" hidden="false" customHeight="true" outlineLevel="0" collapsed="false">
      <c r="A21" s="4" t="n">
        <v>19</v>
      </c>
      <c r="B21" s="5" t="s">
        <v>370</v>
      </c>
      <c r="C21" s="5" t="s">
        <v>170</v>
      </c>
      <c r="D21" s="5" t="s">
        <v>371</v>
      </c>
      <c r="E21" s="5" t="s">
        <v>372</v>
      </c>
      <c r="F21" s="5" t="s">
        <v>373</v>
      </c>
      <c r="G21" s="6" t="s">
        <v>312</v>
      </c>
      <c r="H21" s="6" t="s">
        <v>313</v>
      </c>
      <c r="I21" s="6" t="s">
        <v>19</v>
      </c>
      <c r="J21" s="6" t="s">
        <v>43</v>
      </c>
      <c r="K21" s="5" t="s">
        <v>21</v>
      </c>
      <c r="L21" s="5"/>
      <c r="M21" s="5"/>
    </row>
    <row r="22" customFormat="false" ht="42" hidden="false" customHeight="true" outlineLevel="0" collapsed="false">
      <c r="A22" s="7" t="n">
        <v>20</v>
      </c>
      <c r="B22" s="8" t="s">
        <v>374</v>
      </c>
      <c r="C22" s="8" t="s">
        <v>174</v>
      </c>
      <c r="D22" s="8" t="s">
        <v>371</v>
      </c>
      <c r="E22" s="8" t="s">
        <v>375</v>
      </c>
      <c r="F22" s="8" t="s">
        <v>376</v>
      </c>
      <c r="G22" s="9" t="s">
        <v>312</v>
      </c>
      <c r="H22" s="9" t="s">
        <v>313</v>
      </c>
      <c r="I22" s="9" t="s">
        <v>19</v>
      </c>
      <c r="J22" s="9" t="s">
        <v>35</v>
      </c>
      <c r="K22" s="8" t="s">
        <v>21</v>
      </c>
      <c r="L22" s="8"/>
      <c r="M22" s="8"/>
    </row>
    <row r="23" customFormat="false" ht="15.75" hidden="false" customHeight="true" outlineLevel="0" collapsed="false">
      <c r="A23" s="2" t="s">
        <v>377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42" hidden="false" customHeight="true" outlineLevel="0" collapsed="false">
      <c r="A24" s="4" t="n">
        <v>21</v>
      </c>
      <c r="B24" s="5" t="s">
        <v>378</v>
      </c>
      <c r="C24" s="5" t="s">
        <v>237</v>
      </c>
      <c r="D24" s="5" t="s">
        <v>379</v>
      </c>
      <c r="E24" s="5" t="s">
        <v>380</v>
      </c>
      <c r="F24" s="5" t="s">
        <v>381</v>
      </c>
      <c r="G24" s="6" t="s">
        <v>312</v>
      </c>
      <c r="H24" s="6" t="s">
        <v>313</v>
      </c>
      <c r="I24" s="6" t="s">
        <v>19</v>
      </c>
      <c r="J24" s="6" t="s">
        <v>43</v>
      </c>
      <c r="K24" s="5" t="s">
        <v>21</v>
      </c>
      <c r="L24" s="5"/>
      <c r="M24" s="5"/>
    </row>
    <row r="25" customFormat="false" ht="42" hidden="false" customHeight="true" outlineLevel="0" collapsed="false">
      <c r="A25" s="7" t="n">
        <v>22</v>
      </c>
      <c r="B25" s="8" t="s">
        <v>382</v>
      </c>
      <c r="C25" s="8" t="s">
        <v>153</v>
      </c>
      <c r="D25" s="8" t="s">
        <v>379</v>
      </c>
      <c r="E25" s="8" t="s">
        <v>383</v>
      </c>
      <c r="F25" s="8" t="s">
        <v>384</v>
      </c>
      <c r="G25" s="9" t="s">
        <v>312</v>
      </c>
      <c r="H25" s="9" t="s">
        <v>313</v>
      </c>
      <c r="I25" s="9" t="s">
        <v>19</v>
      </c>
      <c r="J25" s="9" t="s">
        <v>43</v>
      </c>
      <c r="K25" s="8" t="s">
        <v>21</v>
      </c>
      <c r="L25" s="8"/>
      <c r="M25" s="8"/>
    </row>
    <row r="26" customFormat="false" ht="42" hidden="false" customHeight="true" outlineLevel="0" collapsed="false">
      <c r="A26" s="4" t="n">
        <v>23</v>
      </c>
      <c r="B26" s="5" t="s">
        <v>385</v>
      </c>
      <c r="C26" s="5" t="s">
        <v>210</v>
      </c>
      <c r="D26" s="5" t="s">
        <v>379</v>
      </c>
      <c r="E26" s="5" t="s">
        <v>386</v>
      </c>
      <c r="F26" s="5" t="s">
        <v>387</v>
      </c>
      <c r="G26" s="6" t="s">
        <v>312</v>
      </c>
      <c r="H26" s="6" t="s">
        <v>313</v>
      </c>
      <c r="I26" s="6" t="s">
        <v>19</v>
      </c>
      <c r="J26" s="6" t="s">
        <v>103</v>
      </c>
      <c r="K26" s="5" t="s">
        <v>21</v>
      </c>
      <c r="L26" s="5"/>
      <c r="M26" s="5"/>
    </row>
    <row r="27" customFormat="false" ht="42" hidden="false" customHeight="true" outlineLevel="0" collapsed="false">
      <c r="A27" s="7" t="n">
        <v>24</v>
      </c>
      <c r="B27" s="8" t="s">
        <v>388</v>
      </c>
      <c r="C27" s="8" t="s">
        <v>170</v>
      </c>
      <c r="D27" s="8" t="s">
        <v>379</v>
      </c>
      <c r="E27" s="8" t="s">
        <v>389</v>
      </c>
      <c r="F27" s="8" t="s">
        <v>390</v>
      </c>
      <c r="G27" s="9" t="s">
        <v>312</v>
      </c>
      <c r="H27" s="9" t="s">
        <v>313</v>
      </c>
      <c r="I27" s="9" t="s">
        <v>19</v>
      </c>
      <c r="J27" s="9" t="s">
        <v>43</v>
      </c>
      <c r="K27" s="8" t="s">
        <v>21</v>
      </c>
      <c r="L27" s="8"/>
      <c r="M27" s="8"/>
    </row>
    <row r="28" customFormat="false" ht="42" hidden="false" customHeight="true" outlineLevel="0" collapsed="false">
      <c r="A28" s="4" t="n">
        <v>25</v>
      </c>
      <c r="B28" s="5" t="s">
        <v>391</v>
      </c>
      <c r="C28" s="5" t="s">
        <v>237</v>
      </c>
      <c r="D28" s="5" t="s">
        <v>392</v>
      </c>
      <c r="E28" s="5" t="s">
        <v>393</v>
      </c>
      <c r="F28" s="5" t="s">
        <v>394</v>
      </c>
      <c r="G28" s="6" t="s">
        <v>312</v>
      </c>
      <c r="H28" s="6" t="s">
        <v>313</v>
      </c>
      <c r="I28" s="6" t="s">
        <v>19</v>
      </c>
      <c r="J28" s="6" t="s">
        <v>43</v>
      </c>
      <c r="K28" s="5" t="s">
        <v>21</v>
      </c>
      <c r="L28" s="5"/>
      <c r="M28" s="5"/>
    </row>
    <row r="29" customFormat="false" ht="42" hidden="false" customHeight="true" outlineLevel="0" collapsed="false">
      <c r="A29" s="7" t="n">
        <v>26</v>
      </c>
      <c r="B29" s="8" t="s">
        <v>395</v>
      </c>
      <c r="C29" s="8" t="s">
        <v>237</v>
      </c>
      <c r="D29" s="8" t="s">
        <v>396</v>
      </c>
      <c r="E29" s="8" t="s">
        <v>397</v>
      </c>
      <c r="F29" s="8" t="s">
        <v>398</v>
      </c>
      <c r="G29" s="9" t="s">
        <v>312</v>
      </c>
      <c r="H29" s="9" t="s">
        <v>313</v>
      </c>
      <c r="I29" s="9" t="s">
        <v>19</v>
      </c>
      <c r="J29" s="9" t="s">
        <v>43</v>
      </c>
      <c r="K29" s="8" t="s">
        <v>21</v>
      </c>
      <c r="L29" s="8"/>
      <c r="M29" s="8"/>
    </row>
    <row r="30" customFormat="false" ht="42" hidden="false" customHeight="true" outlineLevel="0" collapsed="false">
      <c r="A30" s="4" t="n">
        <v>27</v>
      </c>
      <c r="B30" s="5" t="s">
        <v>399</v>
      </c>
      <c r="C30" s="5" t="s">
        <v>161</v>
      </c>
      <c r="D30" s="5" t="s">
        <v>400</v>
      </c>
      <c r="E30" s="5" t="s">
        <v>401</v>
      </c>
      <c r="F30" s="5" t="s">
        <v>402</v>
      </c>
      <c r="G30" s="6" t="s">
        <v>312</v>
      </c>
      <c r="H30" s="6" t="s">
        <v>313</v>
      </c>
      <c r="I30" s="6" t="s">
        <v>19</v>
      </c>
      <c r="J30" s="6" t="s">
        <v>103</v>
      </c>
      <c r="K30" s="5" t="s">
        <v>21</v>
      </c>
      <c r="L30" s="5"/>
      <c r="M30" s="5"/>
    </row>
    <row r="31" customFormat="false" ht="42" hidden="false" customHeight="true" outlineLevel="0" collapsed="false">
      <c r="A31" s="7" t="n">
        <v>28</v>
      </c>
      <c r="B31" s="8" t="s">
        <v>403</v>
      </c>
      <c r="C31" s="8" t="s">
        <v>153</v>
      </c>
      <c r="D31" s="8" t="s">
        <v>400</v>
      </c>
      <c r="E31" s="8" t="s">
        <v>404</v>
      </c>
      <c r="F31" s="8" t="s">
        <v>405</v>
      </c>
      <c r="G31" s="9" t="s">
        <v>312</v>
      </c>
      <c r="H31" s="9" t="s">
        <v>313</v>
      </c>
      <c r="I31" s="9" t="s">
        <v>19</v>
      </c>
      <c r="J31" s="9" t="s">
        <v>103</v>
      </c>
      <c r="K31" s="8" t="s">
        <v>21</v>
      </c>
      <c r="L31" s="8"/>
      <c r="M31" s="8"/>
    </row>
    <row r="32" customFormat="false" ht="15.75" hidden="false" customHeight="true" outlineLevel="0" collapsed="false">
      <c r="A32" s="2" t="s">
        <v>406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42" hidden="false" customHeight="true" outlineLevel="0" collapsed="false">
      <c r="A33" s="4" t="n">
        <v>29</v>
      </c>
      <c r="B33" s="5" t="s">
        <v>407</v>
      </c>
      <c r="C33" s="5" t="s">
        <v>237</v>
      </c>
      <c r="D33" s="5" t="s">
        <v>408</v>
      </c>
      <c r="E33" s="5" t="s">
        <v>409</v>
      </c>
      <c r="F33" s="5" t="s">
        <v>410</v>
      </c>
      <c r="G33" s="6" t="s">
        <v>312</v>
      </c>
      <c r="H33" s="6" t="s">
        <v>313</v>
      </c>
      <c r="I33" s="6" t="s">
        <v>19</v>
      </c>
      <c r="J33" s="6" t="s">
        <v>103</v>
      </c>
      <c r="K33" s="5" t="s">
        <v>21</v>
      </c>
      <c r="L33" s="5"/>
      <c r="M33" s="5"/>
    </row>
    <row r="34" customFormat="false" ht="42" hidden="false" customHeight="true" outlineLevel="0" collapsed="false">
      <c r="A34" s="7" t="n">
        <v>30</v>
      </c>
      <c r="B34" s="8" t="s">
        <v>411</v>
      </c>
      <c r="C34" s="8" t="s">
        <v>223</v>
      </c>
      <c r="D34" s="8" t="s">
        <v>408</v>
      </c>
      <c r="E34" s="8" t="s">
        <v>412</v>
      </c>
      <c r="F34" s="8" t="s">
        <v>413</v>
      </c>
      <c r="G34" s="9" t="s">
        <v>312</v>
      </c>
      <c r="H34" s="9" t="s">
        <v>313</v>
      </c>
      <c r="I34" s="9" t="s">
        <v>19</v>
      </c>
      <c r="J34" s="9" t="s">
        <v>43</v>
      </c>
      <c r="K34" s="8" t="s">
        <v>21</v>
      </c>
      <c r="L34" s="8"/>
      <c r="M34" s="8"/>
    </row>
    <row r="35" customFormat="false" ht="42" hidden="false" customHeight="true" outlineLevel="0" collapsed="false">
      <c r="A35" s="4" t="n">
        <v>31</v>
      </c>
      <c r="B35" s="5" t="s">
        <v>414</v>
      </c>
      <c r="C35" s="5" t="s">
        <v>228</v>
      </c>
      <c r="D35" s="5" t="s">
        <v>408</v>
      </c>
      <c r="E35" s="5" t="s">
        <v>415</v>
      </c>
      <c r="F35" s="5" t="s">
        <v>416</v>
      </c>
      <c r="G35" s="6" t="s">
        <v>312</v>
      </c>
      <c r="H35" s="6" t="s">
        <v>313</v>
      </c>
      <c r="I35" s="6" t="s">
        <v>19</v>
      </c>
      <c r="J35" s="6" t="s">
        <v>103</v>
      </c>
      <c r="K35" s="5" t="s">
        <v>21</v>
      </c>
      <c r="L35" s="5"/>
      <c r="M35" s="5"/>
    </row>
    <row r="36" customFormat="false" ht="42" hidden="false" customHeight="true" outlineLevel="0" collapsed="false">
      <c r="A36" s="7" t="n">
        <v>32</v>
      </c>
      <c r="B36" s="8" t="s">
        <v>417</v>
      </c>
      <c r="C36" s="8" t="s">
        <v>228</v>
      </c>
      <c r="D36" s="8" t="s">
        <v>408</v>
      </c>
      <c r="E36" s="8" t="s">
        <v>418</v>
      </c>
      <c r="F36" s="8" t="s">
        <v>419</v>
      </c>
      <c r="G36" s="9" t="s">
        <v>312</v>
      </c>
      <c r="H36" s="9" t="s">
        <v>313</v>
      </c>
      <c r="I36" s="9" t="s">
        <v>19</v>
      </c>
      <c r="J36" s="9" t="s">
        <v>103</v>
      </c>
      <c r="K36" s="8" t="s">
        <v>21</v>
      </c>
      <c r="L36" s="8"/>
      <c r="M36" s="8"/>
    </row>
    <row r="37" customFormat="false" ht="42" hidden="false" customHeight="true" outlineLevel="0" collapsed="false">
      <c r="A37" s="4" t="n">
        <v>33</v>
      </c>
      <c r="B37" s="5" t="s">
        <v>420</v>
      </c>
      <c r="C37" s="5" t="s">
        <v>228</v>
      </c>
      <c r="D37" s="5" t="s">
        <v>408</v>
      </c>
      <c r="E37" s="5" t="s">
        <v>421</v>
      </c>
      <c r="F37" s="5" t="s">
        <v>422</v>
      </c>
      <c r="G37" s="6" t="s">
        <v>312</v>
      </c>
      <c r="H37" s="6" t="s">
        <v>313</v>
      </c>
      <c r="I37" s="6" t="s">
        <v>19</v>
      </c>
      <c r="J37" s="6" t="s">
        <v>43</v>
      </c>
      <c r="K37" s="5" t="s">
        <v>21</v>
      </c>
      <c r="L37" s="5"/>
      <c r="M37" s="5"/>
    </row>
    <row r="38" customFormat="false" ht="42" hidden="false" customHeight="true" outlineLevel="0" collapsed="false">
      <c r="A38" s="7" t="n">
        <v>34</v>
      </c>
      <c r="B38" s="8" t="s">
        <v>423</v>
      </c>
      <c r="C38" s="8" t="s">
        <v>232</v>
      </c>
      <c r="D38" s="8" t="s">
        <v>408</v>
      </c>
      <c r="E38" s="8" t="s">
        <v>424</v>
      </c>
      <c r="F38" s="8" t="s">
        <v>425</v>
      </c>
      <c r="G38" s="9" t="s">
        <v>312</v>
      </c>
      <c r="H38" s="9" t="s">
        <v>313</v>
      </c>
      <c r="I38" s="9" t="s">
        <v>19</v>
      </c>
      <c r="J38" s="9" t="s">
        <v>103</v>
      </c>
      <c r="K38" s="8" t="s">
        <v>21</v>
      </c>
      <c r="L38" s="8"/>
      <c r="M38" s="8"/>
    </row>
    <row r="39" customFormat="false" ht="42" hidden="false" customHeight="true" outlineLevel="0" collapsed="false">
      <c r="A39" s="4" t="n">
        <v>35</v>
      </c>
      <c r="B39" s="5" t="s">
        <v>426</v>
      </c>
      <c r="C39" s="5" t="s">
        <v>223</v>
      </c>
      <c r="D39" s="5" t="s">
        <v>408</v>
      </c>
      <c r="E39" s="5" t="s">
        <v>427</v>
      </c>
      <c r="F39" s="5" t="s">
        <v>428</v>
      </c>
      <c r="G39" s="6" t="s">
        <v>312</v>
      </c>
      <c r="H39" s="6" t="s">
        <v>313</v>
      </c>
      <c r="I39" s="6" t="s">
        <v>19</v>
      </c>
      <c r="J39" s="6" t="s">
        <v>43</v>
      </c>
      <c r="K39" s="5" t="s">
        <v>21</v>
      </c>
      <c r="L39" s="5"/>
      <c r="M39" s="5"/>
    </row>
    <row r="40" customFormat="false" ht="42" hidden="false" customHeight="true" outlineLevel="0" collapsed="false">
      <c r="A40" s="7" t="n">
        <v>36</v>
      </c>
      <c r="B40" s="8" t="s">
        <v>429</v>
      </c>
      <c r="C40" s="8" t="s">
        <v>166</v>
      </c>
      <c r="D40" s="8" t="s">
        <v>408</v>
      </c>
      <c r="E40" s="8" t="s">
        <v>430</v>
      </c>
      <c r="F40" s="8" t="s">
        <v>431</v>
      </c>
      <c r="G40" s="9" t="s">
        <v>312</v>
      </c>
      <c r="H40" s="9" t="s">
        <v>313</v>
      </c>
      <c r="I40" s="9" t="s">
        <v>19</v>
      </c>
      <c r="J40" s="9" t="s">
        <v>43</v>
      </c>
      <c r="K40" s="8" t="s">
        <v>21</v>
      </c>
      <c r="L40" s="8"/>
      <c r="M40" s="8"/>
    </row>
    <row r="41" customFormat="false" ht="42" hidden="false" customHeight="true" outlineLevel="0" collapsed="false">
      <c r="A41" s="4" t="n">
        <v>37</v>
      </c>
      <c r="B41" s="5" t="s">
        <v>432</v>
      </c>
      <c r="C41" s="5" t="s">
        <v>186</v>
      </c>
      <c r="D41" s="5" t="s">
        <v>433</v>
      </c>
      <c r="E41" s="5" t="s">
        <v>434</v>
      </c>
      <c r="F41" s="5" t="s">
        <v>435</v>
      </c>
      <c r="G41" s="6" t="s">
        <v>312</v>
      </c>
      <c r="H41" s="6" t="s">
        <v>313</v>
      </c>
      <c r="I41" s="6" t="s">
        <v>19</v>
      </c>
      <c r="J41" s="6" t="s">
        <v>43</v>
      </c>
      <c r="K41" s="5" t="s">
        <v>21</v>
      </c>
      <c r="L41" s="5"/>
      <c r="M41" s="5"/>
    </row>
    <row r="42" customFormat="false" ht="42" hidden="false" customHeight="true" outlineLevel="0" collapsed="false">
      <c r="A42" s="7" t="n">
        <v>38</v>
      </c>
      <c r="B42" s="8" t="s">
        <v>436</v>
      </c>
      <c r="C42" s="8" t="s">
        <v>232</v>
      </c>
      <c r="D42" s="8" t="s">
        <v>433</v>
      </c>
      <c r="E42" s="8" t="s">
        <v>437</v>
      </c>
      <c r="F42" s="8" t="s">
        <v>438</v>
      </c>
      <c r="G42" s="9" t="s">
        <v>312</v>
      </c>
      <c r="H42" s="9" t="s">
        <v>313</v>
      </c>
      <c r="I42" s="9" t="s">
        <v>19</v>
      </c>
      <c r="J42" s="9" t="s">
        <v>103</v>
      </c>
      <c r="K42" s="8" t="s">
        <v>21</v>
      </c>
      <c r="L42" s="8"/>
      <c r="M42" s="8"/>
    </row>
    <row r="43" customFormat="false" ht="42" hidden="false" customHeight="true" outlineLevel="0" collapsed="false">
      <c r="A43" s="4" t="n">
        <v>39</v>
      </c>
      <c r="B43" s="5" t="s">
        <v>439</v>
      </c>
      <c r="C43" s="5" t="s">
        <v>223</v>
      </c>
      <c r="D43" s="5" t="s">
        <v>440</v>
      </c>
      <c r="E43" s="5" t="s">
        <v>441</v>
      </c>
      <c r="F43" s="5" t="s">
        <v>442</v>
      </c>
      <c r="G43" s="6" t="s">
        <v>312</v>
      </c>
      <c r="H43" s="6" t="s">
        <v>313</v>
      </c>
      <c r="I43" s="6" t="s">
        <v>19</v>
      </c>
      <c r="J43" s="6" t="s">
        <v>43</v>
      </c>
      <c r="K43" s="5" t="s">
        <v>21</v>
      </c>
      <c r="L43" s="5"/>
      <c r="M43" s="5"/>
    </row>
    <row r="44" customFormat="false" ht="42" hidden="false" customHeight="true" outlineLevel="0" collapsed="false">
      <c r="A44" s="7" t="n">
        <v>40</v>
      </c>
      <c r="B44" s="8" t="s">
        <v>443</v>
      </c>
      <c r="C44" s="8" t="s">
        <v>237</v>
      </c>
      <c r="D44" s="8" t="s">
        <v>440</v>
      </c>
      <c r="E44" s="8" t="s">
        <v>444</v>
      </c>
      <c r="F44" s="8" t="s">
        <v>445</v>
      </c>
      <c r="G44" s="9" t="s">
        <v>312</v>
      </c>
      <c r="H44" s="9" t="s">
        <v>313</v>
      </c>
      <c r="I44" s="9" t="s">
        <v>19</v>
      </c>
      <c r="J44" s="9" t="s">
        <v>43</v>
      </c>
      <c r="K44" s="8" t="s">
        <v>21</v>
      </c>
      <c r="L44" s="8"/>
      <c r="M44" s="8"/>
    </row>
    <row r="45" customFormat="false" ht="42" hidden="false" customHeight="true" outlineLevel="0" collapsed="false">
      <c r="A45" s="4" t="n">
        <v>41</v>
      </c>
      <c r="B45" s="5" t="s">
        <v>446</v>
      </c>
      <c r="C45" s="5" t="s">
        <v>228</v>
      </c>
      <c r="D45" s="5" t="s">
        <v>440</v>
      </c>
      <c r="E45" s="5" t="s">
        <v>447</v>
      </c>
      <c r="F45" s="5" t="s">
        <v>448</v>
      </c>
      <c r="G45" s="6" t="s">
        <v>312</v>
      </c>
      <c r="H45" s="6" t="s">
        <v>313</v>
      </c>
      <c r="I45" s="6" t="s">
        <v>19</v>
      </c>
      <c r="J45" s="6" t="s">
        <v>43</v>
      </c>
      <c r="K45" s="5" t="s">
        <v>21</v>
      </c>
      <c r="L45" s="5"/>
      <c r="M45" s="5"/>
    </row>
    <row r="46" customFormat="false" ht="15.75" hidden="false" customHeight="true" outlineLevel="0" collapsed="false">
      <c r="A46" s="2" t="s">
        <v>449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42" hidden="false" customHeight="true" outlineLevel="0" collapsed="false">
      <c r="A47" s="4" t="n">
        <v>42</v>
      </c>
      <c r="B47" s="5" t="s">
        <v>450</v>
      </c>
      <c r="C47" s="5" t="s">
        <v>210</v>
      </c>
      <c r="D47" s="5" t="s">
        <v>451</v>
      </c>
      <c r="E47" s="5" t="s">
        <v>212</v>
      </c>
      <c r="F47" s="5" t="s">
        <v>452</v>
      </c>
      <c r="G47" s="6" t="s">
        <v>312</v>
      </c>
      <c r="H47" s="6" t="s">
        <v>313</v>
      </c>
      <c r="I47" s="6" t="s">
        <v>19</v>
      </c>
      <c r="J47" s="6" t="s">
        <v>103</v>
      </c>
      <c r="K47" s="5" t="s">
        <v>21</v>
      </c>
      <c r="L47" s="5"/>
      <c r="M47" s="5"/>
    </row>
    <row r="48" customFormat="false" ht="42" hidden="false" customHeight="true" outlineLevel="0" collapsed="false">
      <c r="A48" s="7" t="n">
        <v>43</v>
      </c>
      <c r="B48" s="8" t="s">
        <v>453</v>
      </c>
      <c r="C48" s="8" t="s">
        <v>174</v>
      </c>
      <c r="D48" s="8" t="s">
        <v>451</v>
      </c>
      <c r="E48" s="8" t="s">
        <v>454</v>
      </c>
      <c r="F48" s="8" t="s">
        <v>455</v>
      </c>
      <c r="G48" s="9" t="s">
        <v>312</v>
      </c>
      <c r="H48" s="9" t="s">
        <v>313</v>
      </c>
      <c r="I48" s="9" t="s">
        <v>19</v>
      </c>
      <c r="J48" s="9" t="s">
        <v>43</v>
      </c>
      <c r="K48" s="8" t="s">
        <v>21</v>
      </c>
      <c r="L48" s="8"/>
      <c r="M48" s="8"/>
    </row>
    <row r="49" customFormat="false" ht="42" hidden="false" customHeight="true" outlineLevel="0" collapsed="false">
      <c r="A49" s="4" t="n">
        <v>44</v>
      </c>
      <c r="B49" s="5" t="s">
        <v>456</v>
      </c>
      <c r="C49" s="5" t="s">
        <v>186</v>
      </c>
      <c r="D49" s="5" t="s">
        <v>451</v>
      </c>
      <c r="E49" s="5" t="s">
        <v>457</v>
      </c>
      <c r="F49" s="5" t="s">
        <v>458</v>
      </c>
      <c r="G49" s="6" t="s">
        <v>312</v>
      </c>
      <c r="H49" s="6" t="s">
        <v>313</v>
      </c>
      <c r="I49" s="6" t="s">
        <v>19</v>
      </c>
      <c r="J49" s="6" t="s">
        <v>103</v>
      </c>
      <c r="K49" s="5" t="s">
        <v>21</v>
      </c>
      <c r="L49" s="5"/>
      <c r="M49" s="5"/>
    </row>
    <row r="50" customFormat="false" ht="42" hidden="false" customHeight="true" outlineLevel="0" collapsed="false">
      <c r="A50" s="7" t="n">
        <v>45</v>
      </c>
      <c r="B50" s="8" t="s">
        <v>459</v>
      </c>
      <c r="C50" s="8" t="s">
        <v>174</v>
      </c>
      <c r="D50" s="8" t="s">
        <v>451</v>
      </c>
      <c r="E50" s="8" t="s">
        <v>460</v>
      </c>
      <c r="F50" s="8" t="s">
        <v>461</v>
      </c>
      <c r="G50" s="9" t="s">
        <v>312</v>
      </c>
      <c r="H50" s="9" t="s">
        <v>313</v>
      </c>
      <c r="I50" s="9" t="s">
        <v>19</v>
      </c>
      <c r="J50" s="9" t="s">
        <v>94</v>
      </c>
      <c r="K50" s="8" t="s">
        <v>21</v>
      </c>
      <c r="L50" s="8"/>
      <c r="M50" s="8"/>
    </row>
    <row r="51" customFormat="false" ht="42" hidden="false" customHeight="true" outlineLevel="0" collapsed="false">
      <c r="A51" s="4" t="n">
        <v>46</v>
      </c>
      <c r="B51" s="5" t="s">
        <v>462</v>
      </c>
      <c r="C51" s="5" t="s">
        <v>174</v>
      </c>
      <c r="D51" s="5" t="s">
        <v>451</v>
      </c>
      <c r="E51" s="5" t="s">
        <v>463</v>
      </c>
      <c r="F51" s="5" t="s">
        <v>464</v>
      </c>
      <c r="G51" s="6" t="s">
        <v>312</v>
      </c>
      <c r="H51" s="6" t="s">
        <v>313</v>
      </c>
      <c r="I51" s="6" t="s">
        <v>19</v>
      </c>
      <c r="J51" s="6" t="s">
        <v>43</v>
      </c>
      <c r="K51" s="5" t="s">
        <v>21</v>
      </c>
      <c r="L51" s="5"/>
      <c r="M51" s="5"/>
    </row>
    <row r="52" customFormat="false" ht="42" hidden="false" customHeight="true" outlineLevel="0" collapsed="false">
      <c r="A52" s="7" t="n">
        <v>47</v>
      </c>
      <c r="B52" s="8" t="s">
        <v>465</v>
      </c>
      <c r="C52" s="8" t="s">
        <v>199</v>
      </c>
      <c r="D52" s="8" t="s">
        <v>451</v>
      </c>
      <c r="E52" s="8" t="s">
        <v>466</v>
      </c>
      <c r="F52" s="8" t="s">
        <v>467</v>
      </c>
      <c r="G52" s="9" t="s">
        <v>312</v>
      </c>
      <c r="H52" s="9" t="s">
        <v>313</v>
      </c>
      <c r="I52" s="9" t="s">
        <v>19</v>
      </c>
      <c r="J52" s="9" t="s">
        <v>43</v>
      </c>
      <c r="K52" s="8" t="s">
        <v>21</v>
      </c>
      <c r="L52" s="8"/>
      <c r="M52" s="8"/>
    </row>
    <row r="53" customFormat="false" ht="42" hidden="false" customHeight="true" outlineLevel="0" collapsed="false">
      <c r="A53" s="4" t="n">
        <v>48</v>
      </c>
      <c r="B53" s="5" t="s">
        <v>468</v>
      </c>
      <c r="C53" s="5" t="s">
        <v>232</v>
      </c>
      <c r="D53" s="5" t="s">
        <v>451</v>
      </c>
      <c r="E53" s="5" t="s">
        <v>469</v>
      </c>
      <c r="F53" s="5" t="s">
        <v>470</v>
      </c>
      <c r="G53" s="6" t="s">
        <v>312</v>
      </c>
      <c r="H53" s="6" t="s">
        <v>313</v>
      </c>
      <c r="I53" s="6" t="s">
        <v>19</v>
      </c>
      <c r="J53" s="6" t="s">
        <v>43</v>
      </c>
      <c r="K53" s="5" t="s">
        <v>21</v>
      </c>
      <c r="L53" s="5"/>
      <c r="M53" s="5"/>
    </row>
    <row r="54" customFormat="false" ht="42" hidden="false" customHeight="true" outlineLevel="0" collapsed="false">
      <c r="A54" s="7" t="n">
        <v>49</v>
      </c>
      <c r="B54" s="8" t="s">
        <v>471</v>
      </c>
      <c r="C54" s="8" t="s">
        <v>170</v>
      </c>
      <c r="D54" s="8" t="s">
        <v>472</v>
      </c>
      <c r="E54" s="8" t="s">
        <v>473</v>
      </c>
      <c r="F54" s="8" t="s">
        <v>474</v>
      </c>
      <c r="G54" s="9" t="s">
        <v>312</v>
      </c>
      <c r="H54" s="9" t="s">
        <v>313</v>
      </c>
      <c r="I54" s="9" t="s">
        <v>19</v>
      </c>
      <c r="J54" s="9" t="s">
        <v>43</v>
      </c>
      <c r="K54" s="8" t="s">
        <v>21</v>
      </c>
      <c r="L54" s="8"/>
      <c r="M54" s="8"/>
    </row>
    <row r="55" customFormat="false" ht="42" hidden="false" customHeight="true" outlineLevel="0" collapsed="false">
      <c r="A55" s="4" t="n">
        <v>50</v>
      </c>
      <c r="B55" s="5" t="s">
        <v>475</v>
      </c>
      <c r="C55" s="5" t="s">
        <v>237</v>
      </c>
      <c r="D55" s="5" t="s">
        <v>472</v>
      </c>
      <c r="E55" s="5" t="s">
        <v>476</v>
      </c>
      <c r="F55" s="5" t="s">
        <v>477</v>
      </c>
      <c r="G55" s="6" t="s">
        <v>312</v>
      </c>
      <c r="H55" s="6" t="s">
        <v>313</v>
      </c>
      <c r="I55" s="6" t="s">
        <v>19</v>
      </c>
      <c r="J55" s="6" t="s">
        <v>43</v>
      </c>
      <c r="K55" s="5" t="s">
        <v>21</v>
      </c>
      <c r="L55" s="5"/>
      <c r="M55" s="5"/>
    </row>
    <row r="56" customFormat="false" ht="15.75" hidden="false" customHeight="true" outlineLevel="0" collapsed="false">
      <c r="A56" s="2" t="s">
        <v>478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42" hidden="false" customHeight="true" outlineLevel="0" collapsed="false">
      <c r="A57" s="4" t="n">
        <v>51</v>
      </c>
      <c r="B57" s="5" t="s">
        <v>479</v>
      </c>
      <c r="C57" s="5" t="s">
        <v>174</v>
      </c>
      <c r="D57" s="5" t="s">
        <v>480</v>
      </c>
      <c r="E57" s="5" t="s">
        <v>481</v>
      </c>
      <c r="F57" s="5" t="s">
        <v>482</v>
      </c>
      <c r="G57" s="6" t="s">
        <v>312</v>
      </c>
      <c r="H57" s="6" t="s">
        <v>313</v>
      </c>
      <c r="I57" s="6" t="s">
        <v>19</v>
      </c>
      <c r="J57" s="6" t="s">
        <v>35</v>
      </c>
      <c r="K57" s="5" t="s">
        <v>21</v>
      </c>
      <c r="L57" s="5"/>
      <c r="M57" s="5"/>
    </row>
    <row r="58" customFormat="false" ht="42" hidden="false" customHeight="true" outlineLevel="0" collapsed="false">
      <c r="A58" s="7" t="n">
        <v>52</v>
      </c>
      <c r="B58" s="8" t="s">
        <v>483</v>
      </c>
      <c r="C58" s="8" t="s">
        <v>178</v>
      </c>
      <c r="D58" s="8" t="s">
        <v>480</v>
      </c>
      <c r="E58" s="8" t="s">
        <v>484</v>
      </c>
      <c r="F58" s="8" t="s">
        <v>485</v>
      </c>
      <c r="G58" s="9" t="s">
        <v>312</v>
      </c>
      <c r="H58" s="9" t="s">
        <v>313</v>
      </c>
      <c r="I58" s="9" t="s">
        <v>19</v>
      </c>
      <c r="J58" s="9" t="s">
        <v>43</v>
      </c>
      <c r="K58" s="8" t="s">
        <v>21</v>
      </c>
      <c r="L58" s="8"/>
      <c r="M58" s="8"/>
    </row>
    <row r="59" customFormat="false" ht="42" hidden="false" customHeight="true" outlineLevel="0" collapsed="false">
      <c r="A59" s="4" t="n">
        <v>53</v>
      </c>
      <c r="B59" s="5" t="s">
        <v>486</v>
      </c>
      <c r="C59" s="5" t="s">
        <v>161</v>
      </c>
      <c r="D59" s="5" t="s">
        <v>487</v>
      </c>
      <c r="E59" s="5" t="s">
        <v>488</v>
      </c>
      <c r="F59" s="5" t="s">
        <v>489</v>
      </c>
      <c r="G59" s="6" t="s">
        <v>312</v>
      </c>
      <c r="H59" s="6" t="s">
        <v>313</v>
      </c>
      <c r="I59" s="6" t="s">
        <v>19</v>
      </c>
      <c r="J59" s="6" t="s">
        <v>103</v>
      </c>
      <c r="K59" s="5" t="s">
        <v>21</v>
      </c>
      <c r="L59" s="5"/>
      <c r="M59" s="5"/>
    </row>
    <row r="60" customFormat="false" ht="42" hidden="false" customHeight="true" outlineLevel="0" collapsed="false">
      <c r="A60" s="7" t="n">
        <v>54</v>
      </c>
      <c r="B60" s="8" t="s">
        <v>490</v>
      </c>
      <c r="C60" s="8" t="s">
        <v>105</v>
      </c>
      <c r="D60" s="8" t="s">
        <v>487</v>
      </c>
      <c r="E60" s="8" t="s">
        <v>491</v>
      </c>
      <c r="F60" s="8" t="s">
        <v>492</v>
      </c>
      <c r="G60" s="9" t="s">
        <v>312</v>
      </c>
      <c r="H60" s="9" t="s">
        <v>313</v>
      </c>
      <c r="I60" s="9" t="s">
        <v>19</v>
      </c>
      <c r="J60" s="9" t="s">
        <v>43</v>
      </c>
      <c r="K60" s="8" t="s">
        <v>21</v>
      </c>
      <c r="L60" s="8"/>
      <c r="M60" s="8"/>
    </row>
    <row r="61" customFormat="false" ht="15.75" hidden="false" customHeight="true" outlineLevel="0" collapsed="false">
      <c r="A61" s="2" t="s">
        <v>493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42" hidden="false" customHeight="true" outlineLevel="0" collapsed="false">
      <c r="A62" s="4" t="n">
        <v>55</v>
      </c>
      <c r="B62" s="5" t="s">
        <v>494</v>
      </c>
      <c r="C62" s="5" t="s">
        <v>166</v>
      </c>
      <c r="D62" s="5" t="s">
        <v>495</v>
      </c>
      <c r="E62" s="5" t="s">
        <v>496</v>
      </c>
      <c r="F62" s="5" t="s">
        <v>497</v>
      </c>
      <c r="G62" s="6" t="s">
        <v>312</v>
      </c>
      <c r="H62" s="6" t="s">
        <v>313</v>
      </c>
      <c r="I62" s="6" t="s">
        <v>19</v>
      </c>
      <c r="J62" s="6" t="s">
        <v>43</v>
      </c>
      <c r="K62" s="5" t="s">
        <v>21</v>
      </c>
      <c r="L62" s="5"/>
      <c r="M62" s="5"/>
    </row>
    <row r="63" customFormat="false" ht="42" hidden="false" customHeight="true" outlineLevel="0" collapsed="false">
      <c r="A63" s="7" t="n">
        <v>56</v>
      </c>
      <c r="B63" s="8" t="s">
        <v>498</v>
      </c>
      <c r="C63" s="8" t="s">
        <v>289</v>
      </c>
      <c r="D63" s="8" t="s">
        <v>495</v>
      </c>
      <c r="E63" s="8" t="s">
        <v>499</v>
      </c>
      <c r="F63" s="8" t="s">
        <v>500</v>
      </c>
      <c r="G63" s="9" t="s">
        <v>312</v>
      </c>
      <c r="H63" s="9" t="s">
        <v>313</v>
      </c>
      <c r="I63" s="9" t="s">
        <v>19</v>
      </c>
      <c r="J63" s="9" t="s">
        <v>103</v>
      </c>
      <c r="K63" s="8" t="s">
        <v>21</v>
      </c>
      <c r="L63" s="8"/>
      <c r="M63" s="8"/>
    </row>
    <row r="64" customFormat="false" ht="42" hidden="false" customHeight="true" outlineLevel="0" collapsed="false">
      <c r="A64" s="4" t="n">
        <v>57</v>
      </c>
      <c r="B64" s="5" t="s">
        <v>501</v>
      </c>
      <c r="C64" s="5" t="s">
        <v>174</v>
      </c>
      <c r="D64" s="5" t="s">
        <v>495</v>
      </c>
      <c r="E64" s="5" t="s">
        <v>502</v>
      </c>
      <c r="F64" s="5" t="s">
        <v>503</v>
      </c>
      <c r="G64" s="6" t="s">
        <v>312</v>
      </c>
      <c r="H64" s="6" t="s">
        <v>313</v>
      </c>
      <c r="I64" s="6" t="s">
        <v>19</v>
      </c>
      <c r="J64" s="6" t="s">
        <v>35</v>
      </c>
      <c r="K64" s="5" t="s">
        <v>21</v>
      </c>
      <c r="L64" s="5"/>
      <c r="M64" s="5"/>
    </row>
    <row r="65" customFormat="false" ht="42" hidden="false" customHeight="true" outlineLevel="0" collapsed="false">
      <c r="A65" s="7" t="n">
        <v>58</v>
      </c>
      <c r="B65" s="8" t="s">
        <v>504</v>
      </c>
      <c r="C65" s="8" t="s">
        <v>505</v>
      </c>
      <c r="D65" s="8" t="s">
        <v>495</v>
      </c>
      <c r="E65" s="8" t="s">
        <v>506</v>
      </c>
      <c r="F65" s="8" t="s">
        <v>507</v>
      </c>
      <c r="G65" s="9" t="s">
        <v>312</v>
      </c>
      <c r="H65" s="9" t="s">
        <v>313</v>
      </c>
      <c r="I65" s="9" t="s">
        <v>19</v>
      </c>
      <c r="J65" s="9" t="s">
        <v>94</v>
      </c>
      <c r="K65" s="8" t="s">
        <v>21</v>
      </c>
      <c r="L65" s="8"/>
      <c r="M65" s="8"/>
    </row>
    <row r="66" customFormat="false" ht="15.75" hidden="false" customHeight="true" outlineLevel="0" collapsed="false">
      <c r="A66" s="2" t="s">
        <v>508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42" hidden="false" customHeight="true" outlineLevel="0" collapsed="false">
      <c r="A67" s="4" t="n">
        <v>59</v>
      </c>
      <c r="B67" s="5" t="s">
        <v>509</v>
      </c>
      <c r="C67" s="5" t="s">
        <v>510</v>
      </c>
      <c r="D67" s="5" t="s">
        <v>511</v>
      </c>
      <c r="E67" s="5" t="s">
        <v>512</v>
      </c>
      <c r="F67" s="5" t="s">
        <v>513</v>
      </c>
      <c r="G67" s="6" t="s">
        <v>312</v>
      </c>
      <c r="H67" s="6" t="s">
        <v>313</v>
      </c>
      <c r="I67" s="6" t="s">
        <v>19</v>
      </c>
      <c r="J67" s="6" t="s">
        <v>43</v>
      </c>
      <c r="K67" s="5" t="s">
        <v>21</v>
      </c>
      <c r="L67" s="5"/>
      <c r="M67" s="5"/>
    </row>
    <row r="68" customFormat="false" ht="42" hidden="false" customHeight="true" outlineLevel="0" collapsed="false">
      <c r="A68" s="7" t="n">
        <v>60</v>
      </c>
      <c r="B68" s="8" t="s">
        <v>514</v>
      </c>
      <c r="C68" s="8" t="s">
        <v>242</v>
      </c>
      <c r="D68" s="8" t="s">
        <v>511</v>
      </c>
      <c r="E68" s="8" t="s">
        <v>515</v>
      </c>
      <c r="F68" s="8" t="s">
        <v>516</v>
      </c>
      <c r="G68" s="9" t="s">
        <v>312</v>
      </c>
      <c r="H68" s="9" t="s">
        <v>313</v>
      </c>
      <c r="I68" s="9" t="s">
        <v>19</v>
      </c>
      <c r="J68" s="9" t="s">
        <v>43</v>
      </c>
      <c r="K68" s="8" t="s">
        <v>21</v>
      </c>
      <c r="L68" s="8"/>
      <c r="M68" s="8"/>
    </row>
    <row r="69" customFormat="false" ht="42" hidden="false" customHeight="true" outlineLevel="0" collapsed="false">
      <c r="A69" s="4" t="n">
        <v>61</v>
      </c>
      <c r="B69" s="5" t="s">
        <v>517</v>
      </c>
      <c r="C69" s="5" t="s">
        <v>246</v>
      </c>
      <c r="D69" s="5" t="s">
        <v>511</v>
      </c>
      <c r="E69" s="5" t="s">
        <v>518</v>
      </c>
      <c r="F69" s="5" t="s">
        <v>519</v>
      </c>
      <c r="G69" s="6" t="s">
        <v>312</v>
      </c>
      <c r="H69" s="6" t="s">
        <v>313</v>
      </c>
      <c r="I69" s="6" t="s">
        <v>19</v>
      </c>
      <c r="J69" s="6" t="s">
        <v>43</v>
      </c>
      <c r="K69" s="5" t="s">
        <v>21</v>
      </c>
      <c r="L69" s="5"/>
      <c r="M69" s="5"/>
    </row>
    <row r="70" customFormat="false" ht="42" hidden="false" customHeight="true" outlineLevel="0" collapsed="false">
      <c r="A70" s="7" t="n">
        <v>62</v>
      </c>
      <c r="B70" s="8" t="s">
        <v>520</v>
      </c>
      <c r="C70" s="8" t="s">
        <v>174</v>
      </c>
      <c r="D70" s="8" t="s">
        <v>521</v>
      </c>
      <c r="E70" s="8" t="s">
        <v>522</v>
      </c>
      <c r="F70" s="8" t="s">
        <v>523</v>
      </c>
      <c r="G70" s="9" t="s">
        <v>312</v>
      </c>
      <c r="H70" s="9" t="s">
        <v>313</v>
      </c>
      <c r="I70" s="9" t="s">
        <v>19</v>
      </c>
      <c r="J70" s="9" t="s">
        <v>94</v>
      </c>
      <c r="K70" s="8" t="s">
        <v>21</v>
      </c>
      <c r="L70" s="8"/>
      <c r="M70" s="8"/>
    </row>
    <row r="71" customFormat="false" ht="42" hidden="false" customHeight="true" outlineLevel="0" collapsed="false">
      <c r="A71" s="4" t="n">
        <v>63</v>
      </c>
      <c r="B71" s="5" t="s">
        <v>524</v>
      </c>
      <c r="C71" s="5" t="s">
        <v>174</v>
      </c>
      <c r="D71" s="5" t="s">
        <v>521</v>
      </c>
      <c r="E71" s="5" t="s">
        <v>525</v>
      </c>
      <c r="F71" s="5" t="s">
        <v>526</v>
      </c>
      <c r="G71" s="6" t="s">
        <v>312</v>
      </c>
      <c r="H71" s="6" t="s">
        <v>313</v>
      </c>
      <c r="I71" s="6" t="s">
        <v>19</v>
      </c>
      <c r="J71" s="6" t="s">
        <v>35</v>
      </c>
      <c r="K71" s="5" t="s">
        <v>21</v>
      </c>
      <c r="L71" s="5"/>
      <c r="M71" s="5"/>
    </row>
  </sheetData>
  <autoFilter ref="A1:M71"/>
  <dataValidations count="5">
    <dataValidation allowBlank="false" errorStyle="stop" operator="between" showDropDown="false" showErrorMessage="false" showInputMessage="false" sqref="K2:K272" type="list">
      <formula1>"Not Started,In Progress,Pass,Fail,N/A"</formula1>
      <formula2>0</formula2>
    </dataValidation>
    <dataValidation allowBlank="false" errorStyle="stop" operator="between" showDropDown="false" showErrorMessage="false" showInputMessage="false" sqref="J2:J272" type="list">
      <formula1>"Critical,High,Medium,Low,Info"</formula1>
      <formula2>0</formula2>
    </dataValidation>
    <dataValidation allowBlank="false" errorStyle="stop" operator="between" showDropDown="false" showErrorMessage="false" showInputMessage="false" sqref="H2:H272" type="list">
      <formula1>"Black-Box,Scoped,Both"</formula1>
      <formula2>0</formula2>
    </dataValidation>
    <dataValidation allowBlank="false" errorStyle="stop" operator="between" showDropDown="false" showErrorMessage="false" showInputMessage="false" sqref="I2:I272" type="list">
      <formula1>"Test,Setup"</formula1>
      <formula2>0</formula2>
    </dataValidation>
    <dataValidation allowBlank="false" errorStyle="stop" operator="between" showDropDown="false" showErrorMessage="false" showInputMessage="false" sqref="G2:G272" type="list">
      <formula1>"Y,N,—"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true" outlineLevel="0" collapsed="false">
      <c r="A2" s="2" t="s">
        <v>527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2" hidden="false" customHeight="true" outlineLevel="0" collapsed="false">
      <c r="A3" s="4" t="n">
        <v>1</v>
      </c>
      <c r="B3" s="5" t="s">
        <v>528</v>
      </c>
      <c r="C3" s="5" t="s">
        <v>529</v>
      </c>
      <c r="D3" s="5" t="s">
        <v>530</v>
      </c>
      <c r="E3" s="5" t="s">
        <v>531</v>
      </c>
      <c r="F3" s="5" t="s">
        <v>532</v>
      </c>
      <c r="G3" s="6" t="s">
        <v>18</v>
      </c>
      <c r="H3" s="6" t="s">
        <v>530</v>
      </c>
      <c r="I3" s="6" t="s">
        <v>20</v>
      </c>
      <c r="J3" s="6" t="s">
        <v>21</v>
      </c>
      <c r="K3" s="5"/>
      <c r="L3" s="5"/>
    </row>
    <row r="4" customFormat="false" ht="42" hidden="false" customHeight="true" outlineLevel="0" collapsed="false">
      <c r="A4" s="7" t="n">
        <v>2</v>
      </c>
      <c r="B4" s="8" t="s">
        <v>533</v>
      </c>
      <c r="C4" s="8" t="s">
        <v>534</v>
      </c>
      <c r="D4" s="8" t="s">
        <v>530</v>
      </c>
      <c r="E4" s="8" t="s">
        <v>535</v>
      </c>
      <c r="F4" s="8" t="s">
        <v>536</v>
      </c>
      <c r="G4" s="9" t="s">
        <v>34</v>
      </c>
      <c r="H4" s="9" t="s">
        <v>530</v>
      </c>
      <c r="I4" s="9" t="s">
        <v>20</v>
      </c>
      <c r="J4" s="9" t="s">
        <v>21</v>
      </c>
      <c r="K4" s="8"/>
      <c r="L4" s="8"/>
    </row>
    <row r="5" customFormat="false" ht="42" hidden="false" customHeight="true" outlineLevel="0" collapsed="false">
      <c r="A5" s="4" t="n">
        <v>3</v>
      </c>
      <c r="B5" s="5" t="s">
        <v>537</v>
      </c>
      <c r="C5" s="5" t="s">
        <v>538</v>
      </c>
      <c r="D5" s="5" t="s">
        <v>530</v>
      </c>
      <c r="E5" s="5" t="s">
        <v>539</v>
      </c>
      <c r="F5" s="5" t="s">
        <v>540</v>
      </c>
      <c r="G5" s="6" t="s">
        <v>34</v>
      </c>
      <c r="H5" s="6" t="s">
        <v>530</v>
      </c>
      <c r="I5" s="6" t="s">
        <v>20</v>
      </c>
      <c r="J5" s="6" t="s">
        <v>21</v>
      </c>
      <c r="K5" s="5"/>
      <c r="L5" s="5"/>
    </row>
    <row r="6" customFormat="false" ht="42" hidden="false" customHeight="true" outlineLevel="0" collapsed="false">
      <c r="A6" s="7" t="n">
        <v>4</v>
      </c>
      <c r="B6" s="8" t="s">
        <v>541</v>
      </c>
      <c r="C6" s="8" t="s">
        <v>538</v>
      </c>
      <c r="D6" s="8" t="s">
        <v>530</v>
      </c>
      <c r="E6" s="8" t="s">
        <v>542</v>
      </c>
      <c r="F6" s="8" t="s">
        <v>543</v>
      </c>
      <c r="G6" s="9" t="s">
        <v>34</v>
      </c>
      <c r="H6" s="9" t="s">
        <v>530</v>
      </c>
      <c r="I6" s="9" t="s">
        <v>20</v>
      </c>
      <c r="J6" s="9" t="s">
        <v>21</v>
      </c>
      <c r="K6" s="8"/>
      <c r="L6" s="8"/>
    </row>
    <row r="7" customFormat="false" ht="42" hidden="false" customHeight="true" outlineLevel="0" collapsed="false">
      <c r="A7" s="4" t="n">
        <v>5</v>
      </c>
      <c r="B7" s="5" t="s">
        <v>544</v>
      </c>
      <c r="C7" s="5" t="s">
        <v>538</v>
      </c>
      <c r="D7" s="5" t="s">
        <v>530</v>
      </c>
      <c r="E7" s="5" t="s">
        <v>545</v>
      </c>
      <c r="F7" s="5" t="s">
        <v>546</v>
      </c>
      <c r="G7" s="6" t="s">
        <v>34</v>
      </c>
      <c r="H7" s="6" t="s">
        <v>530</v>
      </c>
      <c r="I7" s="6" t="s">
        <v>20</v>
      </c>
      <c r="J7" s="6" t="s">
        <v>21</v>
      </c>
      <c r="K7" s="5"/>
      <c r="L7" s="5"/>
    </row>
    <row r="8" customFormat="false" ht="42" hidden="false" customHeight="true" outlineLevel="0" collapsed="false">
      <c r="A8" s="7" t="n">
        <v>6</v>
      </c>
      <c r="B8" s="8" t="s">
        <v>547</v>
      </c>
      <c r="C8" s="8" t="s">
        <v>534</v>
      </c>
      <c r="D8" s="8" t="s">
        <v>530</v>
      </c>
      <c r="E8" s="8" t="s">
        <v>548</v>
      </c>
      <c r="F8" s="8" t="s">
        <v>549</v>
      </c>
      <c r="G8" s="9" t="s">
        <v>34</v>
      </c>
      <c r="H8" s="9" t="s">
        <v>530</v>
      </c>
      <c r="I8" s="9" t="s">
        <v>20</v>
      </c>
      <c r="J8" s="9" t="s">
        <v>21</v>
      </c>
      <c r="K8" s="8"/>
      <c r="L8" s="8"/>
    </row>
    <row r="9" customFormat="false" ht="42" hidden="false" customHeight="true" outlineLevel="0" collapsed="false">
      <c r="A9" s="4" t="n">
        <v>7</v>
      </c>
      <c r="B9" s="5" t="s">
        <v>550</v>
      </c>
      <c r="C9" s="5" t="s">
        <v>551</v>
      </c>
      <c r="D9" s="5" t="s">
        <v>530</v>
      </c>
      <c r="E9" s="5" t="s">
        <v>552</v>
      </c>
      <c r="F9" s="5" t="s">
        <v>553</v>
      </c>
      <c r="G9" s="6" t="s">
        <v>34</v>
      </c>
      <c r="H9" s="6" t="s">
        <v>530</v>
      </c>
      <c r="I9" s="6" t="s">
        <v>20</v>
      </c>
      <c r="J9" s="6" t="s">
        <v>21</v>
      </c>
      <c r="K9" s="5"/>
      <c r="L9" s="5"/>
    </row>
    <row r="10" customFormat="false" ht="15.75" hidden="false" customHeight="true" outlineLevel="0" collapsed="false">
      <c r="A10" s="2" t="s">
        <v>554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42" hidden="false" customHeight="true" outlineLevel="0" collapsed="false">
      <c r="A11" s="4" t="n">
        <v>8</v>
      </c>
      <c r="B11" s="5" t="s">
        <v>555</v>
      </c>
      <c r="C11" s="5" t="s">
        <v>556</v>
      </c>
      <c r="D11" s="5" t="s">
        <v>557</v>
      </c>
      <c r="E11" s="5" t="s">
        <v>558</v>
      </c>
      <c r="F11" s="5" t="s">
        <v>559</v>
      </c>
      <c r="G11" s="6" t="s">
        <v>34</v>
      </c>
      <c r="H11" s="6" t="s">
        <v>19</v>
      </c>
      <c r="I11" s="6" t="s">
        <v>43</v>
      </c>
      <c r="J11" s="6" t="s">
        <v>21</v>
      </c>
      <c r="K11" s="5"/>
      <c r="L11" s="5"/>
    </row>
    <row r="12" customFormat="false" ht="42" hidden="false" customHeight="true" outlineLevel="0" collapsed="false">
      <c r="A12" s="7" t="n">
        <v>9</v>
      </c>
      <c r="B12" s="8" t="s">
        <v>560</v>
      </c>
      <c r="C12" s="8" t="s">
        <v>561</v>
      </c>
      <c r="D12" s="8" t="s">
        <v>557</v>
      </c>
      <c r="E12" s="8" t="s">
        <v>562</v>
      </c>
      <c r="F12" s="8" t="s">
        <v>563</v>
      </c>
      <c r="G12" s="9" t="s">
        <v>34</v>
      </c>
      <c r="H12" s="9" t="s">
        <v>19</v>
      </c>
      <c r="I12" s="9" t="s">
        <v>43</v>
      </c>
      <c r="J12" s="9" t="s">
        <v>21</v>
      </c>
      <c r="K12" s="8"/>
      <c r="L12" s="8"/>
    </row>
    <row r="13" customFormat="false" ht="42" hidden="false" customHeight="true" outlineLevel="0" collapsed="false">
      <c r="A13" s="4" t="n">
        <v>10</v>
      </c>
      <c r="B13" s="5" t="s">
        <v>564</v>
      </c>
      <c r="C13" s="5" t="s">
        <v>565</v>
      </c>
      <c r="D13" s="5" t="s">
        <v>557</v>
      </c>
      <c r="E13" s="5" t="s">
        <v>566</v>
      </c>
      <c r="F13" s="5" t="s">
        <v>567</v>
      </c>
      <c r="G13" s="6" t="s">
        <v>34</v>
      </c>
      <c r="H13" s="6" t="s">
        <v>19</v>
      </c>
      <c r="I13" s="6" t="s">
        <v>43</v>
      </c>
      <c r="J13" s="6" t="s">
        <v>21</v>
      </c>
      <c r="K13" s="5"/>
      <c r="L13" s="5"/>
    </row>
    <row r="14" customFormat="false" ht="42" hidden="false" customHeight="true" outlineLevel="0" collapsed="false">
      <c r="A14" s="7" t="n">
        <v>11</v>
      </c>
      <c r="B14" s="8" t="s">
        <v>568</v>
      </c>
      <c r="C14" s="8" t="s">
        <v>565</v>
      </c>
      <c r="D14" s="8" t="s">
        <v>557</v>
      </c>
      <c r="E14" s="8" t="s">
        <v>569</v>
      </c>
      <c r="F14" s="8" t="s">
        <v>570</v>
      </c>
      <c r="G14" s="9" t="s">
        <v>34</v>
      </c>
      <c r="H14" s="9" t="s">
        <v>19</v>
      </c>
      <c r="I14" s="9" t="s">
        <v>43</v>
      </c>
      <c r="J14" s="9" t="s">
        <v>21</v>
      </c>
      <c r="K14" s="8"/>
      <c r="L14" s="8"/>
    </row>
    <row r="15" customFormat="false" ht="42" hidden="false" customHeight="true" outlineLevel="0" collapsed="false">
      <c r="A15" s="4" t="n">
        <v>12</v>
      </c>
      <c r="B15" s="5" t="s">
        <v>571</v>
      </c>
      <c r="C15" s="5" t="s">
        <v>565</v>
      </c>
      <c r="D15" s="5" t="s">
        <v>557</v>
      </c>
      <c r="E15" s="5" t="s">
        <v>572</v>
      </c>
      <c r="F15" s="5" t="s">
        <v>573</v>
      </c>
      <c r="G15" s="6" t="s">
        <v>34</v>
      </c>
      <c r="H15" s="6" t="s">
        <v>19</v>
      </c>
      <c r="I15" s="6" t="s">
        <v>43</v>
      </c>
      <c r="J15" s="6" t="s">
        <v>21</v>
      </c>
      <c r="K15" s="5"/>
      <c r="L15" s="5"/>
    </row>
    <row r="16" customFormat="false" ht="42" hidden="false" customHeight="true" outlineLevel="0" collapsed="false">
      <c r="A16" s="7" t="n">
        <v>13</v>
      </c>
      <c r="B16" s="8" t="s">
        <v>574</v>
      </c>
      <c r="C16" s="8" t="s">
        <v>575</v>
      </c>
      <c r="D16" s="8" t="s">
        <v>557</v>
      </c>
      <c r="E16" s="8" t="s">
        <v>576</v>
      </c>
      <c r="F16" s="8" t="s">
        <v>577</v>
      </c>
      <c r="G16" s="9" t="s">
        <v>34</v>
      </c>
      <c r="H16" s="9" t="s">
        <v>19</v>
      </c>
      <c r="I16" s="9" t="s">
        <v>35</v>
      </c>
      <c r="J16" s="9" t="s">
        <v>21</v>
      </c>
      <c r="K16" s="8"/>
      <c r="L16" s="8"/>
    </row>
    <row r="17" customFormat="false" ht="15.75" hidden="false" customHeight="true" outlineLevel="0" collapsed="false">
      <c r="A17" s="2" t="s">
        <v>578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42" hidden="false" customHeight="true" outlineLevel="0" collapsed="false">
      <c r="A18" s="4" t="n">
        <v>14</v>
      </c>
      <c r="B18" s="5" t="s">
        <v>579</v>
      </c>
      <c r="C18" s="5" t="s">
        <v>580</v>
      </c>
      <c r="D18" s="5" t="s">
        <v>581</v>
      </c>
      <c r="E18" s="5" t="s">
        <v>582</v>
      </c>
      <c r="F18" s="5" t="s">
        <v>583</v>
      </c>
      <c r="G18" s="6" t="s">
        <v>34</v>
      </c>
      <c r="H18" s="6" t="s">
        <v>19</v>
      </c>
      <c r="I18" s="6" t="s">
        <v>43</v>
      </c>
      <c r="J18" s="6" t="s">
        <v>21</v>
      </c>
      <c r="K18" s="5"/>
      <c r="L18" s="5"/>
    </row>
    <row r="19" customFormat="false" ht="42" hidden="false" customHeight="true" outlineLevel="0" collapsed="false">
      <c r="A19" s="7" t="n">
        <v>15</v>
      </c>
      <c r="B19" s="8" t="s">
        <v>584</v>
      </c>
      <c r="C19" s="8" t="s">
        <v>580</v>
      </c>
      <c r="D19" s="8" t="s">
        <v>581</v>
      </c>
      <c r="E19" s="8" t="s">
        <v>585</v>
      </c>
      <c r="F19" s="8" t="s">
        <v>586</v>
      </c>
      <c r="G19" s="9" t="s">
        <v>34</v>
      </c>
      <c r="H19" s="9" t="s">
        <v>19</v>
      </c>
      <c r="I19" s="9" t="s">
        <v>43</v>
      </c>
      <c r="J19" s="9" t="s">
        <v>21</v>
      </c>
      <c r="K19" s="8"/>
      <c r="L19" s="8"/>
    </row>
    <row r="20" customFormat="false" ht="42" hidden="false" customHeight="true" outlineLevel="0" collapsed="false">
      <c r="A20" s="4" t="n">
        <v>16</v>
      </c>
      <c r="B20" s="5" t="s">
        <v>587</v>
      </c>
      <c r="C20" s="5" t="s">
        <v>580</v>
      </c>
      <c r="D20" s="5" t="s">
        <v>581</v>
      </c>
      <c r="E20" s="5" t="s">
        <v>588</v>
      </c>
      <c r="F20" s="5" t="s">
        <v>589</v>
      </c>
      <c r="G20" s="6" t="s">
        <v>34</v>
      </c>
      <c r="H20" s="6" t="s">
        <v>19</v>
      </c>
      <c r="I20" s="6" t="s">
        <v>43</v>
      </c>
      <c r="J20" s="6" t="s">
        <v>21</v>
      </c>
      <c r="K20" s="5"/>
      <c r="L20" s="5"/>
    </row>
    <row r="21" customFormat="false" ht="42" hidden="false" customHeight="true" outlineLevel="0" collapsed="false">
      <c r="A21" s="7" t="n">
        <v>17</v>
      </c>
      <c r="B21" s="8" t="s">
        <v>590</v>
      </c>
      <c r="C21" s="8" t="s">
        <v>580</v>
      </c>
      <c r="D21" s="8" t="s">
        <v>581</v>
      </c>
      <c r="E21" s="8" t="s">
        <v>591</v>
      </c>
      <c r="F21" s="8" t="s">
        <v>592</v>
      </c>
      <c r="G21" s="9" t="s">
        <v>34</v>
      </c>
      <c r="H21" s="9" t="s">
        <v>19</v>
      </c>
      <c r="I21" s="9" t="s">
        <v>43</v>
      </c>
      <c r="J21" s="9" t="s">
        <v>21</v>
      </c>
      <c r="K21" s="8"/>
      <c r="L21" s="8"/>
    </row>
    <row r="22" customFormat="false" ht="42" hidden="false" customHeight="true" outlineLevel="0" collapsed="false">
      <c r="A22" s="4" t="n">
        <v>18</v>
      </c>
      <c r="B22" s="5" t="s">
        <v>593</v>
      </c>
      <c r="C22" s="5" t="s">
        <v>594</v>
      </c>
      <c r="D22" s="5" t="s">
        <v>581</v>
      </c>
      <c r="E22" s="5" t="s">
        <v>595</v>
      </c>
      <c r="F22" s="5" t="s">
        <v>596</v>
      </c>
      <c r="G22" s="6" t="s">
        <v>34</v>
      </c>
      <c r="H22" s="6" t="s">
        <v>19</v>
      </c>
      <c r="I22" s="6" t="s">
        <v>35</v>
      </c>
      <c r="J22" s="6" t="s">
        <v>21</v>
      </c>
      <c r="K22" s="5"/>
      <c r="L22" s="5"/>
    </row>
    <row r="23" customFormat="false" ht="42" hidden="false" customHeight="true" outlineLevel="0" collapsed="false">
      <c r="A23" s="7" t="n">
        <v>19</v>
      </c>
      <c r="B23" s="8" t="s">
        <v>597</v>
      </c>
      <c r="C23" s="8" t="s">
        <v>580</v>
      </c>
      <c r="D23" s="8" t="s">
        <v>581</v>
      </c>
      <c r="E23" s="8" t="s">
        <v>598</v>
      </c>
      <c r="F23" s="8" t="s">
        <v>599</v>
      </c>
      <c r="G23" s="9" t="s">
        <v>34</v>
      </c>
      <c r="H23" s="9" t="s">
        <v>19</v>
      </c>
      <c r="I23" s="9" t="s">
        <v>43</v>
      </c>
      <c r="J23" s="9" t="s">
        <v>21</v>
      </c>
      <c r="K23" s="8"/>
      <c r="L23" s="8"/>
    </row>
    <row r="24" customFormat="false" ht="15.75" hidden="false" customHeight="true" outlineLevel="0" collapsed="false">
      <c r="A24" s="2" t="s">
        <v>600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42" hidden="false" customHeight="true" outlineLevel="0" collapsed="false">
      <c r="A25" s="4" t="n">
        <v>20</v>
      </c>
      <c r="B25" s="5" t="s">
        <v>601</v>
      </c>
      <c r="C25" s="5" t="s">
        <v>602</v>
      </c>
      <c r="D25" s="5" t="s">
        <v>603</v>
      </c>
      <c r="E25" s="5" t="s">
        <v>604</v>
      </c>
      <c r="F25" s="5" t="s">
        <v>605</v>
      </c>
      <c r="G25" s="6" t="s">
        <v>34</v>
      </c>
      <c r="H25" s="6" t="s">
        <v>19</v>
      </c>
      <c r="I25" s="6" t="s">
        <v>43</v>
      </c>
      <c r="J25" s="6" t="s">
        <v>21</v>
      </c>
      <c r="K25" s="5"/>
      <c r="L25" s="5"/>
    </row>
    <row r="26" customFormat="false" ht="42" hidden="false" customHeight="true" outlineLevel="0" collapsed="false">
      <c r="A26" s="7" t="n">
        <v>21</v>
      </c>
      <c r="B26" s="8" t="s">
        <v>606</v>
      </c>
      <c r="C26" s="8" t="s">
        <v>607</v>
      </c>
      <c r="D26" s="8" t="s">
        <v>603</v>
      </c>
      <c r="E26" s="8" t="s">
        <v>608</v>
      </c>
      <c r="F26" s="8" t="s">
        <v>609</v>
      </c>
      <c r="G26" s="9" t="s">
        <v>34</v>
      </c>
      <c r="H26" s="9" t="s">
        <v>19</v>
      </c>
      <c r="I26" s="9" t="s">
        <v>43</v>
      </c>
      <c r="J26" s="9" t="s">
        <v>21</v>
      </c>
      <c r="K26" s="8"/>
      <c r="L26" s="8"/>
    </row>
    <row r="27" customFormat="false" ht="15.75" hidden="false" customHeight="true" outlineLevel="0" collapsed="false">
      <c r="A27" s="2" t="s">
        <v>610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42" hidden="false" customHeight="true" outlineLevel="0" collapsed="false">
      <c r="A28" s="4" t="n">
        <v>22</v>
      </c>
      <c r="B28" s="5" t="s">
        <v>611</v>
      </c>
      <c r="C28" s="5" t="s">
        <v>612</v>
      </c>
      <c r="D28" s="5" t="s">
        <v>613</v>
      </c>
      <c r="E28" s="5" t="s">
        <v>614</v>
      </c>
      <c r="F28" s="5" t="s">
        <v>615</v>
      </c>
      <c r="G28" s="6" t="s">
        <v>34</v>
      </c>
      <c r="H28" s="6" t="s">
        <v>19</v>
      </c>
      <c r="I28" s="6" t="s">
        <v>103</v>
      </c>
      <c r="J28" s="6" t="s">
        <v>21</v>
      </c>
      <c r="K28" s="5"/>
      <c r="L28" s="5"/>
    </row>
    <row r="29" customFormat="false" ht="42" hidden="false" customHeight="true" outlineLevel="0" collapsed="false">
      <c r="A29" s="7" t="n">
        <v>23</v>
      </c>
      <c r="B29" s="8" t="s">
        <v>616</v>
      </c>
      <c r="C29" s="8" t="s">
        <v>617</v>
      </c>
      <c r="D29" s="8" t="s">
        <v>613</v>
      </c>
      <c r="E29" s="8" t="s">
        <v>618</v>
      </c>
      <c r="F29" s="8" t="s">
        <v>619</v>
      </c>
      <c r="G29" s="9" t="s">
        <v>34</v>
      </c>
      <c r="H29" s="9" t="s">
        <v>19</v>
      </c>
      <c r="I29" s="9" t="s">
        <v>43</v>
      </c>
      <c r="J29" s="9" t="s">
        <v>21</v>
      </c>
      <c r="K29" s="8"/>
      <c r="L29" s="8"/>
    </row>
    <row r="30" customFormat="false" ht="42" hidden="false" customHeight="true" outlineLevel="0" collapsed="false">
      <c r="A30" s="4" t="n">
        <v>24</v>
      </c>
      <c r="B30" s="5" t="s">
        <v>620</v>
      </c>
      <c r="C30" s="5" t="s">
        <v>621</v>
      </c>
      <c r="D30" s="5" t="s">
        <v>613</v>
      </c>
      <c r="E30" s="5" t="s">
        <v>622</v>
      </c>
      <c r="F30" s="5" t="s">
        <v>623</v>
      </c>
      <c r="G30" s="6" t="s">
        <v>34</v>
      </c>
      <c r="H30" s="6" t="s">
        <v>19</v>
      </c>
      <c r="I30" s="6" t="s">
        <v>35</v>
      </c>
      <c r="J30" s="6" t="s">
        <v>21</v>
      </c>
      <c r="K30" s="5"/>
      <c r="L30" s="5"/>
    </row>
    <row r="31" customFormat="false" ht="15.75" hidden="false" customHeight="true" outlineLevel="0" collapsed="false">
      <c r="A31" s="2" t="s">
        <v>624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42" hidden="false" customHeight="true" outlineLevel="0" collapsed="false">
      <c r="A32" s="4" t="n">
        <v>25</v>
      </c>
      <c r="B32" s="5" t="s">
        <v>625</v>
      </c>
      <c r="C32" s="5" t="s">
        <v>626</v>
      </c>
      <c r="D32" s="5" t="s">
        <v>627</v>
      </c>
      <c r="E32" s="5" t="s">
        <v>628</v>
      </c>
      <c r="F32" s="5" t="s">
        <v>629</v>
      </c>
      <c r="G32" s="6" t="s">
        <v>34</v>
      </c>
      <c r="H32" s="6" t="s">
        <v>19</v>
      </c>
      <c r="I32" s="6" t="s">
        <v>43</v>
      </c>
      <c r="J32" s="6" t="s">
        <v>21</v>
      </c>
      <c r="K32" s="5"/>
      <c r="L32" s="5"/>
    </row>
    <row r="33" customFormat="false" ht="42" hidden="false" customHeight="true" outlineLevel="0" collapsed="false">
      <c r="A33" s="7" t="n">
        <v>26</v>
      </c>
      <c r="B33" s="8" t="s">
        <v>630</v>
      </c>
      <c r="C33" s="8" t="s">
        <v>631</v>
      </c>
      <c r="D33" s="8" t="s">
        <v>627</v>
      </c>
      <c r="E33" s="8" t="s">
        <v>632</v>
      </c>
      <c r="F33" s="8" t="s">
        <v>633</v>
      </c>
      <c r="G33" s="9" t="s">
        <v>34</v>
      </c>
      <c r="H33" s="9" t="s">
        <v>19</v>
      </c>
      <c r="I33" s="9" t="s">
        <v>43</v>
      </c>
      <c r="J33" s="9" t="s">
        <v>21</v>
      </c>
      <c r="K33" s="8"/>
      <c r="L33" s="8"/>
    </row>
    <row r="34" customFormat="false" ht="42" hidden="false" customHeight="true" outlineLevel="0" collapsed="false">
      <c r="A34" s="4" t="n">
        <v>27</v>
      </c>
      <c r="B34" s="5" t="s">
        <v>634</v>
      </c>
      <c r="C34" s="5" t="s">
        <v>631</v>
      </c>
      <c r="D34" s="5" t="s">
        <v>627</v>
      </c>
      <c r="E34" s="5" t="s">
        <v>635</v>
      </c>
      <c r="F34" s="5" t="s">
        <v>636</v>
      </c>
      <c r="G34" s="6" t="s">
        <v>34</v>
      </c>
      <c r="H34" s="6" t="s">
        <v>19</v>
      </c>
      <c r="I34" s="6" t="s">
        <v>43</v>
      </c>
      <c r="J34" s="6" t="s">
        <v>21</v>
      </c>
      <c r="K34" s="5"/>
      <c r="L34" s="5"/>
    </row>
    <row r="35" customFormat="false" ht="15.75" hidden="false" customHeight="true" outlineLevel="0" collapsed="false">
      <c r="A35" s="2" t="s">
        <v>637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customFormat="false" ht="42" hidden="false" customHeight="true" outlineLevel="0" collapsed="false">
      <c r="A36" s="4" t="n">
        <v>28</v>
      </c>
      <c r="B36" s="5" t="s">
        <v>638</v>
      </c>
      <c r="C36" s="5" t="s">
        <v>639</v>
      </c>
      <c r="D36" s="5" t="s">
        <v>640</v>
      </c>
      <c r="E36" s="5" t="s">
        <v>641</v>
      </c>
      <c r="F36" s="5" t="s">
        <v>642</v>
      </c>
      <c r="G36" s="6" t="s">
        <v>34</v>
      </c>
      <c r="H36" s="6" t="s">
        <v>19</v>
      </c>
      <c r="I36" s="6" t="s">
        <v>43</v>
      </c>
      <c r="J36" s="6" t="s">
        <v>21</v>
      </c>
      <c r="K36" s="5"/>
      <c r="L36" s="5"/>
    </row>
    <row r="37" customFormat="false" ht="42" hidden="false" customHeight="true" outlineLevel="0" collapsed="false">
      <c r="A37" s="7" t="n">
        <v>29</v>
      </c>
      <c r="B37" s="8" t="s">
        <v>643</v>
      </c>
      <c r="C37" s="8" t="s">
        <v>644</v>
      </c>
      <c r="D37" s="8" t="s">
        <v>640</v>
      </c>
      <c r="E37" s="8" t="s">
        <v>645</v>
      </c>
      <c r="F37" s="8" t="s">
        <v>646</v>
      </c>
      <c r="G37" s="9" t="s">
        <v>34</v>
      </c>
      <c r="H37" s="9" t="s">
        <v>19</v>
      </c>
      <c r="I37" s="9" t="s">
        <v>43</v>
      </c>
      <c r="J37" s="9" t="s">
        <v>21</v>
      </c>
      <c r="K37" s="8"/>
      <c r="L37" s="8"/>
    </row>
    <row r="38" customFormat="false" ht="42" hidden="false" customHeight="true" outlineLevel="0" collapsed="false">
      <c r="A38" s="4" t="n">
        <v>30</v>
      </c>
      <c r="B38" s="5" t="s">
        <v>647</v>
      </c>
      <c r="C38" s="5" t="s">
        <v>648</v>
      </c>
      <c r="D38" s="5" t="s">
        <v>640</v>
      </c>
      <c r="E38" s="5" t="s">
        <v>649</v>
      </c>
      <c r="F38" s="5" t="s">
        <v>650</v>
      </c>
      <c r="G38" s="6" t="s">
        <v>34</v>
      </c>
      <c r="H38" s="6" t="s">
        <v>19</v>
      </c>
      <c r="I38" s="6" t="s">
        <v>43</v>
      </c>
      <c r="J38" s="6" t="s">
        <v>21</v>
      </c>
      <c r="K38" s="5"/>
      <c r="L38" s="5"/>
    </row>
    <row r="39" customFormat="false" ht="42" hidden="false" customHeight="true" outlineLevel="0" collapsed="false">
      <c r="A39" s="7" t="n">
        <v>31</v>
      </c>
      <c r="B39" s="8" t="s">
        <v>651</v>
      </c>
      <c r="C39" s="8" t="s">
        <v>652</v>
      </c>
      <c r="D39" s="8" t="s">
        <v>640</v>
      </c>
      <c r="E39" s="8" t="s">
        <v>653</v>
      </c>
      <c r="F39" s="8" t="s">
        <v>654</v>
      </c>
      <c r="G39" s="9" t="s">
        <v>34</v>
      </c>
      <c r="H39" s="9" t="s">
        <v>19</v>
      </c>
      <c r="I39" s="9" t="s">
        <v>35</v>
      </c>
      <c r="J39" s="9" t="s">
        <v>21</v>
      </c>
      <c r="K39" s="8"/>
      <c r="L39" s="8"/>
    </row>
    <row r="40" customFormat="false" ht="15.75" hidden="false" customHeight="true" outlineLevel="0" collapsed="false">
      <c r="A40" s="2" t="s">
        <v>655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customFormat="false" ht="42" hidden="false" customHeight="true" outlineLevel="0" collapsed="false">
      <c r="A41" s="4" t="n">
        <v>32</v>
      </c>
      <c r="B41" s="5" t="s">
        <v>656</v>
      </c>
      <c r="C41" s="5" t="s">
        <v>657</v>
      </c>
      <c r="D41" s="5" t="s">
        <v>658</v>
      </c>
      <c r="E41" s="5" t="s">
        <v>659</v>
      </c>
      <c r="F41" s="5" t="s">
        <v>660</v>
      </c>
      <c r="G41" s="6" t="s">
        <v>34</v>
      </c>
      <c r="H41" s="6" t="s">
        <v>19</v>
      </c>
      <c r="I41" s="6" t="s">
        <v>43</v>
      </c>
      <c r="J41" s="6" t="s">
        <v>21</v>
      </c>
      <c r="K41" s="5"/>
      <c r="L41" s="5"/>
    </row>
    <row r="42" customFormat="false" ht="42" hidden="false" customHeight="true" outlineLevel="0" collapsed="false">
      <c r="A42" s="7" t="n">
        <v>33</v>
      </c>
      <c r="B42" s="8" t="s">
        <v>661</v>
      </c>
      <c r="C42" s="8" t="s">
        <v>662</v>
      </c>
      <c r="D42" s="8" t="s">
        <v>658</v>
      </c>
      <c r="E42" s="8" t="s">
        <v>663</v>
      </c>
      <c r="F42" s="8" t="s">
        <v>664</v>
      </c>
      <c r="G42" s="9" t="s">
        <v>34</v>
      </c>
      <c r="H42" s="9" t="s">
        <v>19</v>
      </c>
      <c r="I42" s="9" t="s">
        <v>43</v>
      </c>
      <c r="J42" s="9" t="s">
        <v>21</v>
      </c>
      <c r="K42" s="8"/>
      <c r="L42" s="8"/>
    </row>
    <row r="43" customFormat="false" ht="15.75" hidden="false" customHeight="true" outlineLevel="0" collapsed="false">
      <c r="A43" s="2" t="s">
        <v>665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42" hidden="false" customHeight="true" outlineLevel="0" collapsed="false">
      <c r="A44" s="4" t="n">
        <v>34</v>
      </c>
      <c r="B44" s="5" t="s">
        <v>666</v>
      </c>
      <c r="C44" s="5" t="s">
        <v>667</v>
      </c>
      <c r="D44" s="5" t="s">
        <v>668</v>
      </c>
      <c r="E44" s="5" t="s">
        <v>669</v>
      </c>
      <c r="F44" s="5" t="s">
        <v>670</v>
      </c>
      <c r="G44" s="6" t="s">
        <v>34</v>
      </c>
      <c r="H44" s="6" t="s">
        <v>19</v>
      </c>
      <c r="I44" s="6" t="s">
        <v>35</v>
      </c>
      <c r="J44" s="6" t="s">
        <v>21</v>
      </c>
      <c r="K44" s="5"/>
      <c r="L44" s="5"/>
    </row>
    <row r="45" customFormat="false" ht="42" hidden="false" customHeight="true" outlineLevel="0" collapsed="false">
      <c r="A45" s="7" t="n">
        <v>35</v>
      </c>
      <c r="B45" s="8" t="s">
        <v>671</v>
      </c>
      <c r="C45" s="8" t="s">
        <v>672</v>
      </c>
      <c r="D45" s="8" t="s">
        <v>668</v>
      </c>
      <c r="E45" s="8" t="s">
        <v>673</v>
      </c>
      <c r="F45" s="8" t="s">
        <v>674</v>
      </c>
      <c r="G45" s="9" t="s">
        <v>34</v>
      </c>
      <c r="H45" s="9" t="s">
        <v>19</v>
      </c>
      <c r="I45" s="9" t="s">
        <v>35</v>
      </c>
      <c r="J45" s="9" t="s">
        <v>21</v>
      </c>
      <c r="K45" s="8"/>
      <c r="L45" s="8"/>
    </row>
    <row r="46" customFormat="false" ht="42" hidden="false" customHeight="true" outlineLevel="0" collapsed="false">
      <c r="A46" s="4" t="n">
        <v>36</v>
      </c>
      <c r="B46" s="5" t="s">
        <v>675</v>
      </c>
      <c r="C46" s="5" t="s">
        <v>676</v>
      </c>
      <c r="D46" s="5" t="s">
        <v>668</v>
      </c>
      <c r="E46" s="5" t="s">
        <v>677</v>
      </c>
      <c r="F46" s="5" t="s">
        <v>678</v>
      </c>
      <c r="G46" s="6" t="s">
        <v>34</v>
      </c>
      <c r="H46" s="6" t="s">
        <v>19</v>
      </c>
      <c r="I46" s="6" t="s">
        <v>94</v>
      </c>
      <c r="J46" s="6" t="s">
        <v>21</v>
      </c>
      <c r="K46" s="5"/>
      <c r="L46" s="5"/>
    </row>
    <row r="47" customFormat="false" ht="15.75" hidden="false" customHeight="true" outlineLevel="0" collapsed="false">
      <c r="A47" s="2" t="s">
        <v>679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customFormat="false" ht="42" hidden="false" customHeight="true" outlineLevel="0" collapsed="false">
      <c r="A48" s="4" t="n">
        <v>37</v>
      </c>
      <c r="B48" s="5" t="s">
        <v>680</v>
      </c>
      <c r="C48" s="5" t="s">
        <v>681</v>
      </c>
      <c r="D48" s="5" t="s">
        <v>682</v>
      </c>
      <c r="E48" s="5" t="s">
        <v>683</v>
      </c>
      <c r="F48" s="5" t="s">
        <v>684</v>
      </c>
      <c r="G48" s="6" t="s">
        <v>34</v>
      </c>
      <c r="H48" s="6" t="s">
        <v>19</v>
      </c>
      <c r="I48" s="6" t="s">
        <v>35</v>
      </c>
      <c r="J48" s="6" t="s">
        <v>21</v>
      </c>
      <c r="K48" s="5"/>
      <c r="L48" s="5"/>
    </row>
    <row r="49" customFormat="false" ht="42" hidden="false" customHeight="true" outlineLevel="0" collapsed="false">
      <c r="A49" s="7" t="n">
        <v>38</v>
      </c>
      <c r="B49" s="8" t="s">
        <v>685</v>
      </c>
      <c r="C49" s="8" t="s">
        <v>686</v>
      </c>
      <c r="D49" s="8" t="s">
        <v>682</v>
      </c>
      <c r="E49" s="8" t="s">
        <v>687</v>
      </c>
      <c r="F49" s="8" t="s">
        <v>688</v>
      </c>
      <c r="G49" s="9" t="s">
        <v>34</v>
      </c>
      <c r="H49" s="9" t="s">
        <v>19</v>
      </c>
      <c r="I49" s="9" t="s">
        <v>35</v>
      </c>
      <c r="J49" s="9" t="s">
        <v>21</v>
      </c>
      <c r="K49" s="8"/>
      <c r="L49" s="8"/>
    </row>
    <row r="50" customFormat="false" ht="42" hidden="false" customHeight="true" outlineLevel="0" collapsed="false">
      <c r="A50" s="4" t="n">
        <v>39</v>
      </c>
      <c r="B50" s="5" t="s">
        <v>689</v>
      </c>
      <c r="C50" s="5" t="s">
        <v>690</v>
      </c>
      <c r="D50" s="5" t="s">
        <v>682</v>
      </c>
      <c r="E50" s="5" t="s">
        <v>691</v>
      </c>
      <c r="F50" s="5" t="s">
        <v>692</v>
      </c>
      <c r="G50" s="6" t="s">
        <v>34</v>
      </c>
      <c r="H50" s="6" t="s">
        <v>19</v>
      </c>
      <c r="I50" s="6" t="s">
        <v>35</v>
      </c>
      <c r="J50" s="6" t="s">
        <v>21</v>
      </c>
      <c r="K50" s="5"/>
      <c r="L50" s="5"/>
    </row>
    <row r="51" customFormat="false" ht="42" hidden="false" customHeight="true" outlineLevel="0" collapsed="false">
      <c r="A51" s="7" t="n">
        <v>40</v>
      </c>
      <c r="B51" s="8" t="s">
        <v>693</v>
      </c>
      <c r="C51" s="8" t="s">
        <v>694</v>
      </c>
      <c r="D51" s="8" t="s">
        <v>682</v>
      </c>
      <c r="E51" s="8" t="s">
        <v>695</v>
      </c>
      <c r="F51" s="8" t="s">
        <v>696</v>
      </c>
      <c r="G51" s="9" t="s">
        <v>34</v>
      </c>
      <c r="H51" s="9" t="s">
        <v>19</v>
      </c>
      <c r="I51" s="9" t="s">
        <v>94</v>
      </c>
      <c r="J51" s="9" t="s">
        <v>21</v>
      </c>
      <c r="K51" s="8"/>
      <c r="L51" s="8"/>
    </row>
  </sheetData>
  <autoFilter ref="A1:L51"/>
  <dataValidations count="4">
    <dataValidation allowBlank="false" errorStyle="stop" operator="between" showDropDown="false" showErrorMessage="false" showInputMessage="false" sqref="J2:J252" type="list">
      <formula1>"Not Started,In Progress,Pass,Fail,N/A"</formula1>
      <formula2>0</formula2>
    </dataValidation>
    <dataValidation allowBlank="false" errorStyle="stop" operator="between" showDropDown="false" showErrorMessage="false" showInputMessage="false" sqref="I2:I252" type="list">
      <formula1>"Critical,High,Medium,Low,Info"</formula1>
      <formula2>0</formula2>
    </dataValidation>
    <dataValidation allowBlank="false" errorStyle="stop" operator="between" showDropDown="false" showErrorMessage="false" showInputMessage="false" sqref="G2:G252" type="list">
      <formula1>"Black-Box,Scoped,Both"</formula1>
      <formula2>0</formula2>
    </dataValidation>
    <dataValidation allowBlank="false" errorStyle="stop" operator="between" showDropDown="false" showErrorMessage="false" showInputMessage="false" sqref="H2:H252" type="list">
      <formula1>"Test,Setup"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305</v>
      </c>
      <c r="E1" s="1" t="s">
        <v>4</v>
      </c>
      <c r="F1" s="1" t="s">
        <v>5</v>
      </c>
      <c r="G1" s="1" t="s">
        <v>306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.75" hidden="false" customHeight="true" outlineLevel="0" collapsed="false">
      <c r="A2" s="2" t="s">
        <v>697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42" hidden="false" customHeight="true" outlineLevel="0" collapsed="false">
      <c r="A3" s="4" t="n">
        <v>1</v>
      </c>
      <c r="B3" s="5" t="s">
        <v>698</v>
      </c>
      <c r="C3" s="5" t="s">
        <v>612</v>
      </c>
      <c r="D3" s="5" t="s">
        <v>699</v>
      </c>
      <c r="E3" s="5" t="s">
        <v>700</v>
      </c>
      <c r="F3" s="5" t="s">
        <v>701</v>
      </c>
      <c r="G3" s="6" t="s">
        <v>312</v>
      </c>
      <c r="H3" s="6" t="s">
        <v>313</v>
      </c>
      <c r="I3" s="6" t="s">
        <v>19</v>
      </c>
      <c r="J3" s="6" t="s">
        <v>103</v>
      </c>
      <c r="K3" s="5" t="s">
        <v>21</v>
      </c>
      <c r="L3" s="5"/>
      <c r="M3" s="5"/>
    </row>
    <row r="4" customFormat="false" ht="42" hidden="false" customHeight="true" outlineLevel="0" collapsed="false">
      <c r="A4" s="7" t="n">
        <v>2</v>
      </c>
      <c r="B4" s="8" t="s">
        <v>702</v>
      </c>
      <c r="C4" s="8" t="s">
        <v>617</v>
      </c>
      <c r="D4" s="8" t="s">
        <v>699</v>
      </c>
      <c r="E4" s="8" t="s">
        <v>703</v>
      </c>
      <c r="F4" s="8" t="s">
        <v>704</v>
      </c>
      <c r="G4" s="9" t="s">
        <v>312</v>
      </c>
      <c r="H4" s="9" t="s">
        <v>313</v>
      </c>
      <c r="I4" s="9" t="s">
        <v>19</v>
      </c>
      <c r="J4" s="9" t="s">
        <v>43</v>
      </c>
      <c r="K4" s="8" t="s">
        <v>21</v>
      </c>
      <c r="L4" s="8"/>
      <c r="M4" s="8"/>
    </row>
    <row r="5" customFormat="false" ht="42" hidden="false" customHeight="true" outlineLevel="0" collapsed="false">
      <c r="A5" s="4" t="n">
        <v>3</v>
      </c>
      <c r="B5" s="5" t="s">
        <v>705</v>
      </c>
      <c r="C5" s="5" t="s">
        <v>621</v>
      </c>
      <c r="D5" s="5" t="s">
        <v>699</v>
      </c>
      <c r="E5" s="5" t="s">
        <v>706</v>
      </c>
      <c r="F5" s="5" t="s">
        <v>707</v>
      </c>
      <c r="G5" s="6" t="s">
        <v>312</v>
      </c>
      <c r="H5" s="6" t="s">
        <v>313</v>
      </c>
      <c r="I5" s="6" t="s">
        <v>19</v>
      </c>
      <c r="J5" s="6" t="s">
        <v>43</v>
      </c>
      <c r="K5" s="5" t="s">
        <v>21</v>
      </c>
      <c r="L5" s="5"/>
      <c r="M5" s="5"/>
    </row>
    <row r="6" customFormat="false" ht="42" hidden="false" customHeight="true" outlineLevel="0" collapsed="false">
      <c r="A6" s="7" t="n">
        <v>4</v>
      </c>
      <c r="B6" s="8" t="s">
        <v>708</v>
      </c>
      <c r="C6" s="8" t="s">
        <v>617</v>
      </c>
      <c r="D6" s="8" t="s">
        <v>699</v>
      </c>
      <c r="E6" s="8" t="s">
        <v>709</v>
      </c>
      <c r="F6" s="8" t="s">
        <v>710</v>
      </c>
      <c r="G6" s="9" t="s">
        <v>312</v>
      </c>
      <c r="H6" s="9" t="s">
        <v>313</v>
      </c>
      <c r="I6" s="9" t="s">
        <v>19</v>
      </c>
      <c r="J6" s="9" t="s">
        <v>43</v>
      </c>
      <c r="K6" s="8" t="s">
        <v>21</v>
      </c>
      <c r="L6" s="8"/>
      <c r="M6" s="8"/>
    </row>
    <row r="7" customFormat="false" ht="15.75" hidden="false" customHeight="true" outlineLevel="0" collapsed="false">
      <c r="A7" s="2" t="s">
        <v>711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42" hidden="false" customHeight="true" outlineLevel="0" collapsed="false">
      <c r="A8" s="4" t="n">
        <v>5</v>
      </c>
      <c r="B8" s="5" t="s">
        <v>712</v>
      </c>
      <c r="C8" s="5" t="s">
        <v>644</v>
      </c>
      <c r="D8" s="5" t="s">
        <v>713</v>
      </c>
      <c r="E8" s="5" t="s">
        <v>714</v>
      </c>
      <c r="F8" s="5" t="s">
        <v>715</v>
      </c>
      <c r="G8" s="6" t="s">
        <v>312</v>
      </c>
      <c r="H8" s="6" t="s">
        <v>313</v>
      </c>
      <c r="I8" s="6" t="s">
        <v>19</v>
      </c>
      <c r="J8" s="6" t="s">
        <v>43</v>
      </c>
      <c r="K8" s="5" t="s">
        <v>21</v>
      </c>
      <c r="L8" s="5"/>
      <c r="M8" s="5"/>
    </row>
    <row r="9" customFormat="false" ht="42" hidden="false" customHeight="true" outlineLevel="0" collapsed="false">
      <c r="A9" s="7" t="n">
        <v>6</v>
      </c>
      <c r="B9" s="8" t="s">
        <v>716</v>
      </c>
      <c r="C9" s="8" t="s">
        <v>644</v>
      </c>
      <c r="D9" s="8" t="s">
        <v>713</v>
      </c>
      <c r="E9" s="8" t="s">
        <v>645</v>
      </c>
      <c r="F9" s="8" t="s">
        <v>717</v>
      </c>
      <c r="G9" s="9" t="s">
        <v>312</v>
      </c>
      <c r="H9" s="9" t="s">
        <v>313</v>
      </c>
      <c r="I9" s="9" t="s">
        <v>19</v>
      </c>
      <c r="J9" s="9" t="s">
        <v>43</v>
      </c>
      <c r="K9" s="8" t="s">
        <v>21</v>
      </c>
      <c r="L9" s="8"/>
      <c r="M9" s="8"/>
    </row>
    <row r="10" customFormat="false" ht="42" hidden="false" customHeight="true" outlineLevel="0" collapsed="false">
      <c r="A10" s="4" t="n">
        <v>7</v>
      </c>
      <c r="B10" s="5" t="s">
        <v>718</v>
      </c>
      <c r="C10" s="5" t="s">
        <v>644</v>
      </c>
      <c r="D10" s="5" t="s">
        <v>713</v>
      </c>
      <c r="E10" s="5" t="s">
        <v>719</v>
      </c>
      <c r="F10" s="5" t="s">
        <v>720</v>
      </c>
      <c r="G10" s="6" t="s">
        <v>312</v>
      </c>
      <c r="H10" s="6" t="s">
        <v>313</v>
      </c>
      <c r="I10" s="6" t="s">
        <v>19</v>
      </c>
      <c r="J10" s="6" t="s">
        <v>103</v>
      </c>
      <c r="K10" s="5" t="s">
        <v>21</v>
      </c>
      <c r="L10" s="5"/>
      <c r="M10" s="5"/>
    </row>
    <row r="11" customFormat="false" ht="15.75" hidden="false" customHeight="true" outlineLevel="0" collapsed="false">
      <c r="A11" s="2" t="s">
        <v>721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42" hidden="false" customHeight="true" outlineLevel="0" collapsed="false">
      <c r="A12" s="4" t="n">
        <v>8</v>
      </c>
      <c r="B12" s="5" t="s">
        <v>722</v>
      </c>
      <c r="C12" s="5" t="s">
        <v>626</v>
      </c>
      <c r="D12" s="5" t="s">
        <v>723</v>
      </c>
      <c r="E12" s="5" t="s">
        <v>724</v>
      </c>
      <c r="F12" s="5" t="s">
        <v>725</v>
      </c>
      <c r="G12" s="6" t="s">
        <v>312</v>
      </c>
      <c r="H12" s="6" t="s">
        <v>313</v>
      </c>
      <c r="I12" s="6" t="s">
        <v>19</v>
      </c>
      <c r="J12" s="6" t="s">
        <v>103</v>
      </c>
      <c r="K12" s="5" t="s">
        <v>21</v>
      </c>
      <c r="L12" s="5"/>
      <c r="M12" s="5"/>
    </row>
    <row r="13" customFormat="false" ht="42" hidden="false" customHeight="true" outlineLevel="0" collapsed="false">
      <c r="A13" s="7" t="n">
        <v>9</v>
      </c>
      <c r="B13" s="8" t="s">
        <v>726</v>
      </c>
      <c r="C13" s="8" t="s">
        <v>223</v>
      </c>
      <c r="D13" s="8" t="s">
        <v>723</v>
      </c>
      <c r="E13" s="8" t="s">
        <v>727</v>
      </c>
      <c r="F13" s="8" t="s">
        <v>728</v>
      </c>
      <c r="G13" s="9" t="s">
        <v>312</v>
      </c>
      <c r="H13" s="9" t="s">
        <v>313</v>
      </c>
      <c r="I13" s="9" t="s">
        <v>19</v>
      </c>
      <c r="J13" s="9" t="s">
        <v>43</v>
      </c>
      <c r="K13" s="8" t="s">
        <v>21</v>
      </c>
      <c r="L13" s="8"/>
      <c r="M13" s="8"/>
    </row>
    <row r="14" customFormat="false" ht="42" hidden="false" customHeight="true" outlineLevel="0" collapsed="false">
      <c r="A14" s="4" t="n">
        <v>10</v>
      </c>
      <c r="B14" s="5" t="s">
        <v>729</v>
      </c>
      <c r="C14" s="5" t="s">
        <v>644</v>
      </c>
      <c r="D14" s="5" t="s">
        <v>723</v>
      </c>
      <c r="E14" s="5" t="s">
        <v>730</v>
      </c>
      <c r="F14" s="5" t="s">
        <v>731</v>
      </c>
      <c r="G14" s="6" t="s">
        <v>312</v>
      </c>
      <c r="H14" s="6" t="s">
        <v>313</v>
      </c>
      <c r="I14" s="6" t="s">
        <v>19</v>
      </c>
      <c r="J14" s="6" t="s">
        <v>43</v>
      </c>
      <c r="K14" s="5" t="s">
        <v>21</v>
      </c>
      <c r="L14" s="5"/>
      <c r="M14" s="5"/>
    </row>
    <row r="15" customFormat="false" ht="42" hidden="false" customHeight="true" outlineLevel="0" collapsed="false">
      <c r="A15" s="7" t="n">
        <v>11</v>
      </c>
      <c r="B15" s="8" t="s">
        <v>732</v>
      </c>
      <c r="C15" s="8" t="s">
        <v>232</v>
      </c>
      <c r="D15" s="8" t="s">
        <v>723</v>
      </c>
      <c r="E15" s="8" t="s">
        <v>733</v>
      </c>
      <c r="F15" s="8" t="s">
        <v>734</v>
      </c>
      <c r="G15" s="9" t="s">
        <v>312</v>
      </c>
      <c r="H15" s="9" t="s">
        <v>313</v>
      </c>
      <c r="I15" s="9" t="s">
        <v>19</v>
      </c>
      <c r="J15" s="9" t="s">
        <v>103</v>
      </c>
      <c r="K15" s="8" t="s">
        <v>21</v>
      </c>
      <c r="L15" s="8"/>
      <c r="M15" s="8"/>
    </row>
    <row r="16" customFormat="false" ht="15.75" hidden="false" customHeight="true" outlineLevel="0" collapsed="false">
      <c r="A16" s="2" t="s">
        <v>735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42" hidden="false" customHeight="true" outlineLevel="0" collapsed="false">
      <c r="A17" s="4" t="n">
        <v>12</v>
      </c>
      <c r="B17" s="5" t="s">
        <v>736</v>
      </c>
      <c r="C17" s="5" t="s">
        <v>681</v>
      </c>
      <c r="D17" s="5" t="s">
        <v>735</v>
      </c>
      <c r="E17" s="5" t="s">
        <v>737</v>
      </c>
      <c r="F17" s="5" t="s">
        <v>738</v>
      </c>
      <c r="G17" s="6" t="s">
        <v>312</v>
      </c>
      <c r="H17" s="6" t="s">
        <v>313</v>
      </c>
      <c r="I17" s="6" t="s">
        <v>19</v>
      </c>
      <c r="J17" s="6" t="s">
        <v>35</v>
      </c>
      <c r="K17" s="5" t="s">
        <v>21</v>
      </c>
      <c r="L17" s="5"/>
      <c r="M17" s="5"/>
    </row>
    <row r="18" customFormat="false" ht="42" hidden="false" customHeight="true" outlineLevel="0" collapsed="false">
      <c r="A18" s="7" t="n">
        <v>13</v>
      </c>
      <c r="B18" s="8" t="s">
        <v>739</v>
      </c>
      <c r="C18" s="8" t="s">
        <v>626</v>
      </c>
      <c r="D18" s="8" t="s">
        <v>735</v>
      </c>
      <c r="E18" s="8" t="s">
        <v>740</v>
      </c>
      <c r="F18" s="8" t="s">
        <v>741</v>
      </c>
      <c r="G18" s="9" t="s">
        <v>312</v>
      </c>
      <c r="H18" s="9" t="s">
        <v>313</v>
      </c>
      <c r="I18" s="9" t="s">
        <v>19</v>
      </c>
      <c r="J18" s="9" t="s">
        <v>35</v>
      </c>
      <c r="K18" s="8" t="s">
        <v>21</v>
      </c>
      <c r="L18" s="8"/>
      <c r="M18" s="8"/>
    </row>
    <row r="19" customFormat="false" ht="15.75" hidden="false" customHeight="true" outlineLevel="0" collapsed="false">
      <c r="A19" s="2" t="s">
        <v>742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42" hidden="false" customHeight="true" outlineLevel="0" collapsed="false">
      <c r="A20" s="4" t="n">
        <v>14</v>
      </c>
      <c r="B20" s="5" t="s">
        <v>743</v>
      </c>
      <c r="C20" s="5" t="s">
        <v>648</v>
      </c>
      <c r="D20" s="5" t="s">
        <v>744</v>
      </c>
      <c r="E20" s="5" t="s">
        <v>745</v>
      </c>
      <c r="F20" s="5" t="s">
        <v>746</v>
      </c>
      <c r="G20" s="6" t="s">
        <v>312</v>
      </c>
      <c r="H20" s="6" t="s">
        <v>313</v>
      </c>
      <c r="I20" s="6" t="s">
        <v>19</v>
      </c>
      <c r="J20" s="6" t="s">
        <v>103</v>
      </c>
      <c r="K20" s="5" t="s">
        <v>21</v>
      </c>
      <c r="L20" s="5"/>
      <c r="M20" s="5"/>
    </row>
    <row r="21" customFormat="false" ht="42" hidden="false" customHeight="true" outlineLevel="0" collapsed="false">
      <c r="A21" s="7" t="n">
        <v>15</v>
      </c>
      <c r="B21" s="8" t="s">
        <v>747</v>
      </c>
      <c r="C21" s="8" t="s">
        <v>648</v>
      </c>
      <c r="D21" s="8" t="s">
        <v>744</v>
      </c>
      <c r="E21" s="8" t="s">
        <v>748</v>
      </c>
      <c r="F21" s="8" t="s">
        <v>749</v>
      </c>
      <c r="G21" s="9" t="s">
        <v>312</v>
      </c>
      <c r="H21" s="9" t="s">
        <v>313</v>
      </c>
      <c r="I21" s="9" t="s">
        <v>19</v>
      </c>
      <c r="J21" s="9" t="s">
        <v>43</v>
      </c>
      <c r="K21" s="8" t="s">
        <v>21</v>
      </c>
      <c r="L21" s="8"/>
      <c r="M21" s="8"/>
    </row>
    <row r="22" customFormat="false" ht="42" hidden="false" customHeight="true" outlineLevel="0" collapsed="false">
      <c r="A22" s="4" t="n">
        <v>16</v>
      </c>
      <c r="B22" s="5" t="s">
        <v>750</v>
      </c>
      <c r="C22" s="5" t="s">
        <v>648</v>
      </c>
      <c r="D22" s="5" t="s">
        <v>744</v>
      </c>
      <c r="E22" s="5" t="s">
        <v>751</v>
      </c>
      <c r="F22" s="5" t="s">
        <v>752</v>
      </c>
      <c r="G22" s="6" t="s">
        <v>312</v>
      </c>
      <c r="H22" s="6" t="s">
        <v>313</v>
      </c>
      <c r="I22" s="6" t="s">
        <v>19</v>
      </c>
      <c r="J22" s="6" t="s">
        <v>43</v>
      </c>
      <c r="K22" s="5" t="s">
        <v>21</v>
      </c>
      <c r="L22" s="5"/>
      <c r="M22" s="5"/>
    </row>
    <row r="23" customFormat="false" ht="15.75" hidden="false" customHeight="true" outlineLevel="0" collapsed="false">
      <c r="A23" s="2" t="s">
        <v>753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42" hidden="false" customHeight="true" outlineLevel="0" collapsed="false">
      <c r="A24" s="4" t="n">
        <v>17</v>
      </c>
      <c r="B24" s="5" t="s">
        <v>754</v>
      </c>
      <c r="C24" s="5" t="s">
        <v>580</v>
      </c>
      <c r="D24" s="5" t="s">
        <v>753</v>
      </c>
      <c r="E24" s="5" t="s">
        <v>755</v>
      </c>
      <c r="F24" s="5" t="s">
        <v>756</v>
      </c>
      <c r="G24" s="6" t="s">
        <v>312</v>
      </c>
      <c r="H24" s="6" t="s">
        <v>313</v>
      </c>
      <c r="I24" s="6" t="s">
        <v>19</v>
      </c>
      <c r="J24" s="6" t="s">
        <v>43</v>
      </c>
      <c r="K24" s="5" t="s">
        <v>21</v>
      </c>
      <c r="L24" s="5"/>
      <c r="M24" s="5"/>
    </row>
    <row r="25" customFormat="false" ht="42" hidden="false" customHeight="true" outlineLevel="0" collapsed="false">
      <c r="A25" s="7" t="n">
        <v>18</v>
      </c>
      <c r="B25" s="8" t="s">
        <v>757</v>
      </c>
      <c r="C25" s="8" t="s">
        <v>580</v>
      </c>
      <c r="D25" s="8" t="s">
        <v>753</v>
      </c>
      <c r="E25" s="8" t="s">
        <v>758</v>
      </c>
      <c r="F25" s="8" t="s">
        <v>759</v>
      </c>
      <c r="G25" s="9" t="s">
        <v>312</v>
      </c>
      <c r="H25" s="9" t="s">
        <v>313</v>
      </c>
      <c r="I25" s="9" t="s">
        <v>19</v>
      </c>
      <c r="J25" s="9" t="s">
        <v>43</v>
      </c>
      <c r="K25" s="8" t="s">
        <v>21</v>
      </c>
      <c r="L25" s="8"/>
      <c r="M25" s="8"/>
    </row>
    <row r="26" customFormat="false" ht="15.75" hidden="false" customHeight="true" outlineLevel="0" collapsed="false">
      <c r="A26" s="2" t="s">
        <v>760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42" hidden="false" customHeight="true" outlineLevel="0" collapsed="false">
      <c r="A27" s="4" t="n">
        <v>19</v>
      </c>
      <c r="B27" s="5" t="s">
        <v>761</v>
      </c>
      <c r="C27" s="5" t="s">
        <v>237</v>
      </c>
      <c r="D27" s="5" t="s">
        <v>762</v>
      </c>
      <c r="E27" s="5" t="s">
        <v>763</v>
      </c>
      <c r="F27" s="5" t="s">
        <v>764</v>
      </c>
      <c r="G27" s="6" t="s">
        <v>312</v>
      </c>
      <c r="H27" s="6" t="s">
        <v>313</v>
      </c>
      <c r="I27" s="6" t="s">
        <v>19</v>
      </c>
      <c r="J27" s="6" t="s">
        <v>43</v>
      </c>
      <c r="K27" s="5" t="s">
        <v>21</v>
      </c>
      <c r="L27" s="5"/>
      <c r="M27" s="5"/>
    </row>
    <row r="28" customFormat="false" ht="42" hidden="false" customHeight="true" outlineLevel="0" collapsed="false">
      <c r="A28" s="7" t="n">
        <v>20</v>
      </c>
      <c r="B28" s="8" t="s">
        <v>765</v>
      </c>
      <c r="C28" s="8" t="s">
        <v>161</v>
      </c>
      <c r="D28" s="8" t="s">
        <v>762</v>
      </c>
      <c r="E28" s="8" t="s">
        <v>766</v>
      </c>
      <c r="F28" s="8" t="s">
        <v>767</v>
      </c>
      <c r="G28" s="9" t="s">
        <v>312</v>
      </c>
      <c r="H28" s="9" t="s">
        <v>313</v>
      </c>
      <c r="I28" s="9" t="s">
        <v>19</v>
      </c>
      <c r="J28" s="9" t="s">
        <v>103</v>
      </c>
      <c r="K28" s="8" t="s">
        <v>21</v>
      </c>
      <c r="L28" s="8"/>
      <c r="M28" s="8"/>
    </row>
    <row r="29" customFormat="false" ht="42" hidden="false" customHeight="true" outlineLevel="0" collapsed="false">
      <c r="A29" s="4" t="n">
        <v>21</v>
      </c>
      <c r="B29" s="5" t="s">
        <v>768</v>
      </c>
      <c r="C29" s="5" t="s">
        <v>242</v>
      </c>
      <c r="D29" s="5" t="s">
        <v>762</v>
      </c>
      <c r="E29" s="5" t="s">
        <v>769</v>
      </c>
      <c r="F29" s="5" t="s">
        <v>770</v>
      </c>
      <c r="G29" s="6" t="s">
        <v>312</v>
      </c>
      <c r="H29" s="6" t="s">
        <v>313</v>
      </c>
      <c r="I29" s="6" t="s">
        <v>19</v>
      </c>
      <c r="J29" s="6" t="s">
        <v>43</v>
      </c>
      <c r="K29" s="5" t="s">
        <v>21</v>
      </c>
      <c r="L29" s="5"/>
      <c r="M29" s="5"/>
    </row>
    <row r="30" customFormat="false" ht="42" hidden="false" customHeight="true" outlineLevel="0" collapsed="false">
      <c r="A30" s="7" t="n">
        <v>22</v>
      </c>
      <c r="B30" s="8" t="s">
        <v>771</v>
      </c>
      <c r="C30" s="8" t="s">
        <v>772</v>
      </c>
      <c r="D30" s="8" t="s">
        <v>762</v>
      </c>
      <c r="E30" s="8" t="s">
        <v>773</v>
      </c>
      <c r="F30" s="8" t="s">
        <v>774</v>
      </c>
      <c r="G30" s="9" t="s">
        <v>312</v>
      </c>
      <c r="H30" s="9" t="s">
        <v>313</v>
      </c>
      <c r="I30" s="9" t="s">
        <v>19</v>
      </c>
      <c r="J30" s="9" t="s">
        <v>43</v>
      </c>
      <c r="K30" s="8" t="s">
        <v>21</v>
      </c>
      <c r="L30" s="8"/>
      <c r="M30" s="8"/>
    </row>
  </sheetData>
  <autoFilter ref="A1:M30"/>
  <dataValidations count="5">
    <dataValidation allowBlank="false" errorStyle="stop" operator="between" showDropDown="false" showErrorMessage="false" showInputMessage="false" sqref="K2:K231" type="list">
      <formula1>"Not Started,In Progress,Pass,Fail,N/A"</formula1>
      <formula2>0</formula2>
    </dataValidation>
    <dataValidation allowBlank="false" errorStyle="stop" operator="between" showDropDown="false" showErrorMessage="false" showInputMessage="false" sqref="J2:J231" type="list">
      <formula1>"Critical,High,Medium,Low,Info"</formula1>
      <formula2>0</formula2>
    </dataValidation>
    <dataValidation allowBlank="false" errorStyle="stop" operator="between" showDropDown="false" showErrorMessage="false" showInputMessage="false" sqref="H2:H231" type="list">
      <formula1>"Black-Box,Scoped,Both"</formula1>
      <formula2>0</formula2>
    </dataValidation>
    <dataValidation allowBlank="false" errorStyle="stop" operator="between" showDropDown="false" showErrorMessage="false" showInputMessage="false" sqref="I2:I231" type="list">
      <formula1>"Test,Setup"</formula1>
      <formula2>0</formula2>
    </dataValidation>
    <dataValidation allowBlank="false" errorStyle="stop" operator="between" showDropDown="false" showErrorMessage="false" showInputMessage="false" sqref="G2:G231" type="list">
      <formula1>"Y,N,—"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9E"/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true" outlineLevel="0" collapsed="false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2" hidden="false" customHeight="true" outlineLevel="0" collapsed="false">
      <c r="A3" s="4" t="n">
        <v>1</v>
      </c>
      <c r="B3" s="5" t="s">
        <v>775</v>
      </c>
      <c r="C3" s="5" t="s">
        <v>776</v>
      </c>
      <c r="D3" s="5" t="s">
        <v>15</v>
      </c>
      <c r="E3" s="5" t="s">
        <v>777</v>
      </c>
      <c r="F3" s="5" t="s">
        <v>778</v>
      </c>
      <c r="G3" s="6" t="s">
        <v>18</v>
      </c>
      <c r="H3" s="6" t="s">
        <v>19</v>
      </c>
      <c r="I3" s="6" t="s">
        <v>20</v>
      </c>
      <c r="J3" s="6" t="s">
        <v>21</v>
      </c>
      <c r="K3" s="5"/>
      <c r="L3" s="5"/>
    </row>
    <row r="4" customFormat="false" ht="42" hidden="false" customHeight="true" outlineLevel="0" collapsed="false">
      <c r="A4" s="7" t="n">
        <v>2</v>
      </c>
      <c r="B4" s="8" t="s">
        <v>779</v>
      </c>
      <c r="C4" s="8" t="s">
        <v>776</v>
      </c>
      <c r="D4" s="8" t="s">
        <v>15</v>
      </c>
      <c r="E4" s="8" t="s">
        <v>780</v>
      </c>
      <c r="F4" s="8" t="s">
        <v>781</v>
      </c>
      <c r="G4" s="9" t="s">
        <v>18</v>
      </c>
      <c r="H4" s="9" t="s">
        <v>19</v>
      </c>
      <c r="I4" s="9" t="s">
        <v>20</v>
      </c>
      <c r="J4" s="9" t="s">
        <v>21</v>
      </c>
      <c r="K4" s="8"/>
      <c r="L4" s="8"/>
    </row>
    <row r="5" customFormat="false" ht="42" hidden="false" customHeight="true" outlineLevel="0" collapsed="false">
      <c r="A5" s="4" t="n">
        <v>3</v>
      </c>
      <c r="B5" s="5" t="s">
        <v>782</v>
      </c>
      <c r="C5" s="5" t="s">
        <v>776</v>
      </c>
      <c r="D5" s="5" t="s">
        <v>15</v>
      </c>
      <c r="E5" s="5" t="s">
        <v>783</v>
      </c>
      <c r="F5" s="5" t="s">
        <v>784</v>
      </c>
      <c r="G5" s="6" t="s">
        <v>34</v>
      </c>
      <c r="H5" s="6" t="s">
        <v>19</v>
      </c>
      <c r="I5" s="6" t="s">
        <v>20</v>
      </c>
      <c r="J5" s="6" t="s">
        <v>21</v>
      </c>
      <c r="K5" s="5"/>
      <c r="L5" s="5"/>
    </row>
    <row r="6" customFormat="false" ht="42" hidden="false" customHeight="true" outlineLevel="0" collapsed="false">
      <c r="A6" s="7" t="n">
        <v>4</v>
      </c>
      <c r="B6" s="8" t="s">
        <v>785</v>
      </c>
      <c r="C6" s="8" t="s">
        <v>776</v>
      </c>
      <c r="D6" s="8" t="s">
        <v>15</v>
      </c>
      <c r="E6" s="8" t="s">
        <v>786</v>
      </c>
      <c r="F6" s="8" t="s">
        <v>787</v>
      </c>
      <c r="G6" s="9" t="s">
        <v>34</v>
      </c>
      <c r="H6" s="9" t="s">
        <v>19</v>
      </c>
      <c r="I6" s="9" t="s">
        <v>20</v>
      </c>
      <c r="J6" s="9" t="s">
        <v>21</v>
      </c>
      <c r="K6" s="8"/>
      <c r="L6" s="8"/>
    </row>
    <row r="7" customFormat="false" ht="42" hidden="false" customHeight="true" outlineLevel="0" collapsed="false">
      <c r="A7" s="4" t="n">
        <v>5</v>
      </c>
      <c r="B7" s="5" t="s">
        <v>788</v>
      </c>
      <c r="C7" s="5" t="s">
        <v>789</v>
      </c>
      <c r="D7" s="5" t="s">
        <v>15</v>
      </c>
      <c r="E7" s="5" t="s">
        <v>790</v>
      </c>
      <c r="F7" s="5" t="s">
        <v>791</v>
      </c>
      <c r="G7" s="6" t="s">
        <v>34</v>
      </c>
      <c r="H7" s="6" t="s">
        <v>19</v>
      </c>
      <c r="I7" s="6" t="s">
        <v>20</v>
      </c>
      <c r="J7" s="6" t="s">
        <v>21</v>
      </c>
      <c r="K7" s="5"/>
      <c r="L7" s="5"/>
    </row>
    <row r="8" customFormat="false" ht="42" hidden="false" customHeight="true" outlineLevel="0" collapsed="false">
      <c r="A8" s="7" t="n">
        <v>6</v>
      </c>
      <c r="B8" s="8" t="s">
        <v>792</v>
      </c>
      <c r="C8" s="8" t="s">
        <v>776</v>
      </c>
      <c r="D8" s="8" t="s">
        <v>15</v>
      </c>
      <c r="E8" s="8" t="s">
        <v>793</v>
      </c>
      <c r="F8" s="8" t="s">
        <v>794</v>
      </c>
      <c r="G8" s="9" t="s">
        <v>34</v>
      </c>
      <c r="H8" s="9" t="s">
        <v>19</v>
      </c>
      <c r="I8" s="9" t="s">
        <v>43</v>
      </c>
      <c r="J8" s="9" t="s">
        <v>21</v>
      </c>
      <c r="K8" s="8"/>
      <c r="L8" s="8"/>
    </row>
    <row r="9" customFormat="false" ht="15.75" hidden="false" customHeight="true" outlineLevel="0" collapsed="false">
      <c r="A9" s="2" t="s">
        <v>795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42" hidden="false" customHeight="true" outlineLevel="0" collapsed="false">
      <c r="A10" s="4" t="n">
        <v>7</v>
      </c>
      <c r="B10" s="5" t="s">
        <v>796</v>
      </c>
      <c r="C10" s="5" t="s">
        <v>797</v>
      </c>
      <c r="D10" s="5" t="s">
        <v>798</v>
      </c>
      <c r="E10" s="5" t="s">
        <v>799</v>
      </c>
      <c r="F10" s="5" t="s">
        <v>800</v>
      </c>
      <c r="G10" s="6" t="s">
        <v>34</v>
      </c>
      <c r="H10" s="6" t="s">
        <v>19</v>
      </c>
      <c r="I10" s="6" t="s">
        <v>43</v>
      </c>
      <c r="J10" s="6" t="s">
        <v>21</v>
      </c>
      <c r="K10" s="5"/>
      <c r="L10" s="5"/>
    </row>
    <row r="11" customFormat="false" ht="42" hidden="false" customHeight="true" outlineLevel="0" collapsed="false">
      <c r="A11" s="7" t="n">
        <v>8</v>
      </c>
      <c r="B11" s="8" t="s">
        <v>801</v>
      </c>
      <c r="C11" s="8" t="s">
        <v>797</v>
      </c>
      <c r="D11" s="8" t="s">
        <v>798</v>
      </c>
      <c r="E11" s="8" t="s">
        <v>802</v>
      </c>
      <c r="F11" s="8" t="s">
        <v>803</v>
      </c>
      <c r="G11" s="9" t="s">
        <v>34</v>
      </c>
      <c r="H11" s="9" t="s">
        <v>19</v>
      </c>
      <c r="I11" s="9" t="s">
        <v>43</v>
      </c>
      <c r="J11" s="9" t="s">
        <v>21</v>
      </c>
      <c r="K11" s="8"/>
      <c r="L11" s="8"/>
    </row>
    <row r="12" customFormat="false" ht="42" hidden="false" customHeight="true" outlineLevel="0" collapsed="false">
      <c r="A12" s="4" t="n">
        <v>9</v>
      </c>
      <c r="B12" s="5" t="s">
        <v>804</v>
      </c>
      <c r="C12" s="5" t="s">
        <v>797</v>
      </c>
      <c r="D12" s="5" t="s">
        <v>798</v>
      </c>
      <c r="E12" s="5" t="s">
        <v>805</v>
      </c>
      <c r="F12" s="5" t="s">
        <v>806</v>
      </c>
      <c r="G12" s="6" t="s">
        <v>34</v>
      </c>
      <c r="H12" s="6" t="s">
        <v>19</v>
      </c>
      <c r="I12" s="6" t="s">
        <v>43</v>
      </c>
      <c r="J12" s="6" t="s">
        <v>21</v>
      </c>
      <c r="K12" s="5"/>
      <c r="L12" s="5"/>
    </row>
    <row r="13" customFormat="false" ht="15.75" hidden="false" customHeight="true" outlineLevel="0" collapsed="false">
      <c r="A13" s="2" t="s">
        <v>807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42" hidden="false" customHeight="true" outlineLevel="0" collapsed="false">
      <c r="A14" s="4" t="n">
        <v>10</v>
      </c>
      <c r="B14" s="5" t="s">
        <v>808</v>
      </c>
      <c r="C14" s="5" t="s">
        <v>809</v>
      </c>
      <c r="D14" s="5" t="s">
        <v>211</v>
      </c>
      <c r="E14" s="5" t="s">
        <v>810</v>
      </c>
      <c r="F14" s="5" t="s">
        <v>811</v>
      </c>
      <c r="G14" s="6" t="s">
        <v>34</v>
      </c>
      <c r="H14" s="6" t="s">
        <v>19</v>
      </c>
      <c r="I14" s="6" t="s">
        <v>43</v>
      </c>
      <c r="J14" s="6" t="s">
        <v>21</v>
      </c>
      <c r="K14" s="5"/>
      <c r="L14" s="5"/>
    </row>
    <row r="15" customFormat="false" ht="42" hidden="false" customHeight="true" outlineLevel="0" collapsed="false">
      <c r="A15" s="7" t="n">
        <v>11</v>
      </c>
      <c r="B15" s="8" t="s">
        <v>812</v>
      </c>
      <c r="C15" s="8" t="s">
        <v>809</v>
      </c>
      <c r="D15" s="8" t="s">
        <v>211</v>
      </c>
      <c r="E15" s="8" t="s">
        <v>813</v>
      </c>
      <c r="F15" s="8" t="s">
        <v>814</v>
      </c>
      <c r="G15" s="9" t="s">
        <v>34</v>
      </c>
      <c r="H15" s="9" t="s">
        <v>19</v>
      </c>
      <c r="I15" s="9" t="s">
        <v>43</v>
      </c>
      <c r="J15" s="9" t="s">
        <v>21</v>
      </c>
      <c r="K15" s="8"/>
      <c r="L15" s="8"/>
    </row>
    <row r="16" customFormat="false" ht="42" hidden="false" customHeight="true" outlineLevel="0" collapsed="false">
      <c r="A16" s="4" t="n">
        <v>12</v>
      </c>
      <c r="B16" s="5" t="s">
        <v>815</v>
      </c>
      <c r="C16" s="5" t="s">
        <v>816</v>
      </c>
      <c r="D16" s="5" t="s">
        <v>211</v>
      </c>
      <c r="E16" s="5" t="s">
        <v>817</v>
      </c>
      <c r="F16" s="5" t="s">
        <v>818</v>
      </c>
      <c r="G16" s="6" t="s">
        <v>34</v>
      </c>
      <c r="H16" s="6" t="s">
        <v>19</v>
      </c>
      <c r="I16" s="6" t="s">
        <v>43</v>
      </c>
      <c r="J16" s="6" t="s">
        <v>21</v>
      </c>
      <c r="K16" s="5"/>
      <c r="L16" s="5"/>
    </row>
    <row r="17" customFormat="false" ht="42" hidden="false" customHeight="true" outlineLevel="0" collapsed="false">
      <c r="A17" s="7" t="n">
        <v>13</v>
      </c>
      <c r="B17" s="8" t="s">
        <v>819</v>
      </c>
      <c r="C17" s="8" t="s">
        <v>809</v>
      </c>
      <c r="D17" s="8" t="s">
        <v>211</v>
      </c>
      <c r="E17" s="8" t="s">
        <v>820</v>
      </c>
      <c r="F17" s="8" t="s">
        <v>821</v>
      </c>
      <c r="G17" s="9" t="s">
        <v>34</v>
      </c>
      <c r="H17" s="9" t="s">
        <v>19</v>
      </c>
      <c r="I17" s="9" t="s">
        <v>103</v>
      </c>
      <c r="J17" s="9" t="s">
        <v>21</v>
      </c>
      <c r="K17" s="8"/>
      <c r="L17" s="8"/>
    </row>
    <row r="18" customFormat="false" ht="42" hidden="false" customHeight="true" outlineLevel="0" collapsed="false">
      <c r="A18" s="4" t="n">
        <v>14</v>
      </c>
      <c r="B18" s="5" t="s">
        <v>822</v>
      </c>
      <c r="C18" s="5" t="s">
        <v>809</v>
      </c>
      <c r="D18" s="5" t="s">
        <v>211</v>
      </c>
      <c r="E18" s="5" t="s">
        <v>823</v>
      </c>
      <c r="F18" s="5" t="s">
        <v>824</v>
      </c>
      <c r="G18" s="6" t="s">
        <v>34</v>
      </c>
      <c r="H18" s="6" t="s">
        <v>19</v>
      </c>
      <c r="I18" s="6" t="s">
        <v>43</v>
      </c>
      <c r="J18" s="6" t="s">
        <v>21</v>
      </c>
      <c r="K18" s="5"/>
      <c r="L18" s="5"/>
    </row>
    <row r="19" customFormat="false" ht="15.75" hidden="false" customHeight="true" outlineLevel="0" collapsed="false">
      <c r="A19" s="2" t="s">
        <v>825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42" hidden="false" customHeight="true" outlineLevel="0" collapsed="false">
      <c r="A20" s="4" t="n">
        <v>15</v>
      </c>
      <c r="B20" s="5" t="s">
        <v>826</v>
      </c>
      <c r="C20" s="5" t="s">
        <v>827</v>
      </c>
      <c r="D20" s="5" t="s">
        <v>828</v>
      </c>
      <c r="E20" s="5" t="s">
        <v>829</v>
      </c>
      <c r="F20" s="5" t="s">
        <v>830</v>
      </c>
      <c r="G20" s="6" t="s">
        <v>34</v>
      </c>
      <c r="H20" s="6" t="s">
        <v>19</v>
      </c>
      <c r="I20" s="6" t="s">
        <v>43</v>
      </c>
      <c r="J20" s="6" t="s">
        <v>21</v>
      </c>
      <c r="K20" s="5"/>
      <c r="L20" s="5"/>
    </row>
    <row r="21" customFormat="false" ht="42" hidden="false" customHeight="true" outlineLevel="0" collapsed="false">
      <c r="A21" s="7" t="n">
        <v>16</v>
      </c>
      <c r="B21" s="8" t="s">
        <v>831</v>
      </c>
      <c r="C21" s="8" t="s">
        <v>827</v>
      </c>
      <c r="D21" s="8" t="s">
        <v>828</v>
      </c>
      <c r="E21" s="8" t="s">
        <v>832</v>
      </c>
      <c r="F21" s="8" t="s">
        <v>833</v>
      </c>
      <c r="G21" s="9" t="s">
        <v>34</v>
      </c>
      <c r="H21" s="9" t="s">
        <v>19</v>
      </c>
      <c r="I21" s="9" t="s">
        <v>43</v>
      </c>
      <c r="J21" s="9" t="s">
        <v>21</v>
      </c>
      <c r="K21" s="8"/>
      <c r="L21" s="8"/>
    </row>
    <row r="22" customFormat="false" ht="15.75" hidden="false" customHeight="true" outlineLevel="0" collapsed="false">
      <c r="A22" s="2" t="s">
        <v>834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42" hidden="false" customHeight="true" outlineLevel="0" collapsed="false">
      <c r="A23" s="4" t="n">
        <v>17</v>
      </c>
      <c r="B23" s="5" t="s">
        <v>835</v>
      </c>
      <c r="C23" s="5" t="s">
        <v>836</v>
      </c>
      <c r="D23" s="5" t="s">
        <v>627</v>
      </c>
      <c r="E23" s="5" t="s">
        <v>837</v>
      </c>
      <c r="F23" s="5" t="s">
        <v>838</v>
      </c>
      <c r="G23" s="6" t="s">
        <v>34</v>
      </c>
      <c r="H23" s="6" t="s">
        <v>19</v>
      </c>
      <c r="I23" s="6" t="s">
        <v>43</v>
      </c>
      <c r="J23" s="6" t="s">
        <v>21</v>
      </c>
      <c r="K23" s="5"/>
      <c r="L23" s="5"/>
    </row>
    <row r="24" customFormat="false" ht="42" hidden="false" customHeight="true" outlineLevel="0" collapsed="false">
      <c r="A24" s="7" t="n">
        <v>18</v>
      </c>
      <c r="B24" s="8" t="s">
        <v>839</v>
      </c>
      <c r="C24" s="8" t="s">
        <v>836</v>
      </c>
      <c r="D24" s="8" t="s">
        <v>627</v>
      </c>
      <c r="E24" s="8" t="s">
        <v>840</v>
      </c>
      <c r="F24" s="8" t="s">
        <v>841</v>
      </c>
      <c r="G24" s="9" t="s">
        <v>34</v>
      </c>
      <c r="H24" s="9" t="s">
        <v>19</v>
      </c>
      <c r="I24" s="9" t="s">
        <v>43</v>
      </c>
      <c r="J24" s="9" t="s">
        <v>21</v>
      </c>
      <c r="K24" s="8"/>
      <c r="L24" s="8"/>
    </row>
    <row r="25" customFormat="false" ht="42" hidden="false" customHeight="true" outlineLevel="0" collapsed="false">
      <c r="A25" s="4" t="n">
        <v>19</v>
      </c>
      <c r="B25" s="5" t="s">
        <v>842</v>
      </c>
      <c r="C25" s="5" t="s">
        <v>836</v>
      </c>
      <c r="D25" s="5" t="s">
        <v>627</v>
      </c>
      <c r="E25" s="5" t="s">
        <v>843</v>
      </c>
      <c r="F25" s="5" t="s">
        <v>844</v>
      </c>
      <c r="G25" s="6" t="s">
        <v>34</v>
      </c>
      <c r="H25" s="6" t="s">
        <v>19</v>
      </c>
      <c r="I25" s="6" t="s">
        <v>43</v>
      </c>
      <c r="J25" s="6" t="s">
        <v>21</v>
      </c>
      <c r="K25" s="5"/>
      <c r="L25" s="5"/>
    </row>
    <row r="26" customFormat="false" ht="42" hidden="false" customHeight="true" outlineLevel="0" collapsed="false">
      <c r="A26" s="7" t="n">
        <v>20</v>
      </c>
      <c r="B26" s="8" t="s">
        <v>845</v>
      </c>
      <c r="C26" s="8" t="s">
        <v>846</v>
      </c>
      <c r="D26" s="8" t="s">
        <v>627</v>
      </c>
      <c r="E26" s="8" t="s">
        <v>847</v>
      </c>
      <c r="F26" s="8" t="s">
        <v>848</v>
      </c>
      <c r="G26" s="9" t="s">
        <v>34</v>
      </c>
      <c r="H26" s="9" t="s">
        <v>19</v>
      </c>
      <c r="I26" s="9" t="s">
        <v>35</v>
      </c>
      <c r="J26" s="9" t="s">
        <v>21</v>
      </c>
      <c r="K26" s="8"/>
      <c r="L26" s="8"/>
    </row>
    <row r="27" customFormat="false" ht="42" hidden="false" customHeight="true" outlineLevel="0" collapsed="false">
      <c r="A27" s="4" t="n">
        <v>21</v>
      </c>
      <c r="B27" s="5" t="s">
        <v>849</v>
      </c>
      <c r="C27" s="5" t="s">
        <v>836</v>
      </c>
      <c r="D27" s="5" t="s">
        <v>627</v>
      </c>
      <c r="E27" s="5" t="s">
        <v>850</v>
      </c>
      <c r="F27" s="5" t="s">
        <v>851</v>
      </c>
      <c r="G27" s="6" t="s">
        <v>34</v>
      </c>
      <c r="H27" s="6" t="s">
        <v>19</v>
      </c>
      <c r="I27" s="6" t="s">
        <v>43</v>
      </c>
      <c r="J27" s="6" t="s">
        <v>21</v>
      </c>
      <c r="K27" s="5"/>
      <c r="L27" s="5"/>
    </row>
    <row r="28" customFormat="false" ht="42" hidden="false" customHeight="true" outlineLevel="0" collapsed="false">
      <c r="A28" s="7" t="n">
        <v>22</v>
      </c>
      <c r="B28" s="8" t="s">
        <v>852</v>
      </c>
      <c r="C28" s="8" t="s">
        <v>846</v>
      </c>
      <c r="D28" s="8" t="s">
        <v>627</v>
      </c>
      <c r="E28" s="8" t="s">
        <v>853</v>
      </c>
      <c r="F28" s="8" t="s">
        <v>854</v>
      </c>
      <c r="G28" s="9" t="s">
        <v>34</v>
      </c>
      <c r="H28" s="9" t="s">
        <v>19</v>
      </c>
      <c r="I28" s="9" t="s">
        <v>43</v>
      </c>
      <c r="J28" s="9" t="s">
        <v>21</v>
      </c>
      <c r="K28" s="8"/>
      <c r="L28" s="8"/>
    </row>
    <row r="29" customFormat="false" ht="15.75" hidden="false" customHeight="true" outlineLevel="0" collapsed="false">
      <c r="A29" s="2" t="s">
        <v>855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42" hidden="false" customHeight="true" outlineLevel="0" collapsed="false">
      <c r="A30" s="4" t="n">
        <v>23</v>
      </c>
      <c r="B30" s="5" t="s">
        <v>856</v>
      </c>
      <c r="C30" s="5" t="s">
        <v>857</v>
      </c>
      <c r="D30" s="5" t="s">
        <v>858</v>
      </c>
      <c r="E30" s="5" t="s">
        <v>859</v>
      </c>
      <c r="F30" s="5" t="s">
        <v>860</v>
      </c>
      <c r="G30" s="6" t="s">
        <v>34</v>
      </c>
      <c r="H30" s="6" t="s">
        <v>19</v>
      </c>
      <c r="I30" s="6" t="s">
        <v>35</v>
      </c>
      <c r="J30" s="6" t="s">
        <v>21</v>
      </c>
      <c r="K30" s="5"/>
      <c r="L30" s="5"/>
    </row>
    <row r="31" customFormat="false" ht="42" hidden="false" customHeight="true" outlineLevel="0" collapsed="false">
      <c r="A31" s="7" t="n">
        <v>24</v>
      </c>
      <c r="B31" s="8" t="s">
        <v>861</v>
      </c>
      <c r="C31" s="8" t="s">
        <v>857</v>
      </c>
      <c r="D31" s="8" t="s">
        <v>858</v>
      </c>
      <c r="E31" s="8" t="s">
        <v>862</v>
      </c>
      <c r="F31" s="8" t="s">
        <v>863</v>
      </c>
      <c r="G31" s="9" t="s">
        <v>34</v>
      </c>
      <c r="H31" s="9" t="s">
        <v>19</v>
      </c>
      <c r="I31" s="9" t="s">
        <v>43</v>
      </c>
      <c r="J31" s="9" t="s">
        <v>21</v>
      </c>
      <c r="K31" s="8"/>
      <c r="L31" s="8"/>
    </row>
    <row r="32" customFormat="false" ht="42" hidden="false" customHeight="true" outlineLevel="0" collapsed="false">
      <c r="A32" s="4" t="n">
        <v>25</v>
      </c>
      <c r="B32" s="5" t="s">
        <v>864</v>
      </c>
      <c r="C32" s="5" t="s">
        <v>857</v>
      </c>
      <c r="D32" s="5" t="s">
        <v>858</v>
      </c>
      <c r="E32" s="5" t="s">
        <v>865</v>
      </c>
      <c r="F32" s="5" t="s">
        <v>866</v>
      </c>
      <c r="G32" s="6" t="s">
        <v>34</v>
      </c>
      <c r="H32" s="6" t="s">
        <v>19</v>
      </c>
      <c r="I32" s="6" t="s">
        <v>43</v>
      </c>
      <c r="J32" s="6" t="s">
        <v>21</v>
      </c>
      <c r="K32" s="5"/>
      <c r="L32" s="5"/>
    </row>
    <row r="33" customFormat="false" ht="42" hidden="false" customHeight="true" outlineLevel="0" collapsed="false">
      <c r="A33" s="7" t="n">
        <v>26</v>
      </c>
      <c r="B33" s="8" t="s">
        <v>867</v>
      </c>
      <c r="C33" s="8" t="s">
        <v>868</v>
      </c>
      <c r="D33" s="8" t="s">
        <v>858</v>
      </c>
      <c r="E33" s="8" t="s">
        <v>869</v>
      </c>
      <c r="F33" s="8" t="s">
        <v>870</v>
      </c>
      <c r="G33" s="9" t="s">
        <v>34</v>
      </c>
      <c r="H33" s="9" t="s">
        <v>19</v>
      </c>
      <c r="I33" s="9" t="s">
        <v>103</v>
      </c>
      <c r="J33" s="9" t="s">
        <v>21</v>
      </c>
      <c r="K33" s="8"/>
      <c r="L33" s="8"/>
    </row>
    <row r="34" customFormat="false" ht="15.75" hidden="false" customHeight="true" outlineLevel="0" collapsed="false">
      <c r="A34" s="2" t="s">
        <v>871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42" hidden="false" customHeight="true" outlineLevel="0" collapsed="false">
      <c r="A35" s="4" t="n">
        <v>27</v>
      </c>
      <c r="B35" s="5" t="s">
        <v>872</v>
      </c>
      <c r="C35" s="5" t="s">
        <v>873</v>
      </c>
      <c r="D35" s="5" t="s">
        <v>874</v>
      </c>
      <c r="E35" s="5" t="s">
        <v>875</v>
      </c>
      <c r="F35" s="5" t="s">
        <v>876</v>
      </c>
      <c r="G35" s="6" t="s">
        <v>34</v>
      </c>
      <c r="H35" s="6" t="s">
        <v>19</v>
      </c>
      <c r="I35" s="6" t="s">
        <v>43</v>
      </c>
      <c r="J35" s="6" t="s">
        <v>21</v>
      </c>
      <c r="K35" s="5"/>
      <c r="L35" s="5"/>
    </row>
    <row r="36" customFormat="false" ht="42" hidden="false" customHeight="true" outlineLevel="0" collapsed="false">
      <c r="A36" s="7" t="n">
        <v>28</v>
      </c>
      <c r="B36" s="8" t="s">
        <v>877</v>
      </c>
      <c r="C36" s="8" t="s">
        <v>873</v>
      </c>
      <c r="D36" s="8" t="s">
        <v>874</v>
      </c>
      <c r="E36" s="8" t="s">
        <v>878</v>
      </c>
      <c r="F36" s="8" t="s">
        <v>879</v>
      </c>
      <c r="G36" s="9" t="s">
        <v>34</v>
      </c>
      <c r="H36" s="9" t="s">
        <v>19</v>
      </c>
      <c r="I36" s="9" t="s">
        <v>43</v>
      </c>
      <c r="J36" s="9" t="s">
        <v>21</v>
      </c>
      <c r="K36" s="8"/>
      <c r="L36" s="8"/>
    </row>
    <row r="37" customFormat="false" ht="15.75" hidden="false" customHeight="true" outlineLevel="0" collapsed="false">
      <c r="A37" s="2" t="s">
        <v>880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customFormat="false" ht="42" hidden="false" customHeight="true" outlineLevel="0" collapsed="false">
      <c r="A38" s="4" t="n">
        <v>29</v>
      </c>
      <c r="B38" s="5" t="s">
        <v>881</v>
      </c>
      <c r="C38" s="5" t="s">
        <v>882</v>
      </c>
      <c r="D38" s="5" t="s">
        <v>883</v>
      </c>
      <c r="E38" s="5" t="s">
        <v>884</v>
      </c>
      <c r="F38" s="5" t="s">
        <v>885</v>
      </c>
      <c r="G38" s="6" t="s">
        <v>34</v>
      </c>
      <c r="H38" s="6" t="s">
        <v>19</v>
      </c>
      <c r="I38" s="6" t="s">
        <v>103</v>
      </c>
      <c r="J38" s="6" t="s">
        <v>21</v>
      </c>
      <c r="K38" s="5"/>
      <c r="L38" s="5"/>
    </row>
    <row r="39" customFormat="false" ht="42" hidden="false" customHeight="true" outlineLevel="0" collapsed="false">
      <c r="A39" s="7" t="n">
        <v>30</v>
      </c>
      <c r="B39" s="8" t="s">
        <v>886</v>
      </c>
      <c r="C39" s="8" t="s">
        <v>882</v>
      </c>
      <c r="D39" s="8" t="s">
        <v>883</v>
      </c>
      <c r="E39" s="8" t="s">
        <v>887</v>
      </c>
      <c r="F39" s="8" t="s">
        <v>888</v>
      </c>
      <c r="G39" s="9" t="s">
        <v>34</v>
      </c>
      <c r="H39" s="9" t="s">
        <v>19</v>
      </c>
      <c r="I39" s="9" t="s">
        <v>103</v>
      </c>
      <c r="J39" s="9" t="s">
        <v>21</v>
      </c>
      <c r="K39" s="8"/>
      <c r="L39" s="8"/>
    </row>
    <row r="40" customFormat="false" ht="42" hidden="false" customHeight="true" outlineLevel="0" collapsed="false">
      <c r="A40" s="4" t="n">
        <v>31</v>
      </c>
      <c r="B40" s="5" t="s">
        <v>889</v>
      </c>
      <c r="C40" s="5" t="s">
        <v>882</v>
      </c>
      <c r="D40" s="5" t="s">
        <v>883</v>
      </c>
      <c r="E40" s="5" t="s">
        <v>890</v>
      </c>
      <c r="F40" s="5" t="s">
        <v>891</v>
      </c>
      <c r="G40" s="6" t="s">
        <v>34</v>
      </c>
      <c r="H40" s="6" t="s">
        <v>19</v>
      </c>
      <c r="I40" s="6" t="s">
        <v>43</v>
      </c>
      <c r="J40" s="6" t="s">
        <v>21</v>
      </c>
      <c r="K40" s="5"/>
      <c r="L40" s="5"/>
    </row>
    <row r="41" customFormat="false" ht="42" hidden="false" customHeight="true" outlineLevel="0" collapsed="false">
      <c r="A41" s="7" t="n">
        <v>32</v>
      </c>
      <c r="B41" s="8" t="s">
        <v>892</v>
      </c>
      <c r="C41" s="8" t="s">
        <v>882</v>
      </c>
      <c r="D41" s="8" t="s">
        <v>883</v>
      </c>
      <c r="E41" s="8" t="s">
        <v>893</v>
      </c>
      <c r="F41" s="8" t="s">
        <v>894</v>
      </c>
      <c r="G41" s="9" t="s">
        <v>34</v>
      </c>
      <c r="H41" s="9" t="s">
        <v>19</v>
      </c>
      <c r="I41" s="9" t="s">
        <v>103</v>
      </c>
      <c r="J41" s="9" t="s">
        <v>21</v>
      </c>
      <c r="K41" s="8"/>
      <c r="L41" s="8"/>
    </row>
    <row r="42" customFormat="false" ht="42" hidden="false" customHeight="true" outlineLevel="0" collapsed="false">
      <c r="A42" s="4" t="n">
        <v>33</v>
      </c>
      <c r="B42" s="5" t="s">
        <v>895</v>
      </c>
      <c r="C42" s="5" t="s">
        <v>882</v>
      </c>
      <c r="D42" s="5" t="s">
        <v>883</v>
      </c>
      <c r="E42" s="5" t="s">
        <v>896</v>
      </c>
      <c r="F42" s="5" t="s">
        <v>897</v>
      </c>
      <c r="G42" s="6" t="s">
        <v>34</v>
      </c>
      <c r="H42" s="6" t="s">
        <v>19</v>
      </c>
      <c r="I42" s="6" t="s">
        <v>43</v>
      </c>
      <c r="J42" s="6" t="s">
        <v>21</v>
      </c>
      <c r="K42" s="5"/>
      <c r="L42" s="5"/>
    </row>
    <row r="43" customFormat="false" ht="15.75" hidden="false" customHeight="true" outlineLevel="0" collapsed="false">
      <c r="A43" s="2" t="s">
        <v>898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customFormat="false" ht="42" hidden="false" customHeight="true" outlineLevel="0" collapsed="false">
      <c r="A44" s="4" t="n">
        <v>34</v>
      </c>
      <c r="B44" s="5" t="s">
        <v>899</v>
      </c>
      <c r="C44" s="5" t="s">
        <v>868</v>
      </c>
      <c r="D44" s="5" t="s">
        <v>900</v>
      </c>
      <c r="E44" s="5" t="s">
        <v>901</v>
      </c>
      <c r="F44" s="5" t="s">
        <v>902</v>
      </c>
      <c r="G44" s="6" t="s">
        <v>34</v>
      </c>
      <c r="H44" s="6" t="s">
        <v>19</v>
      </c>
      <c r="I44" s="6" t="s">
        <v>103</v>
      </c>
      <c r="J44" s="6" t="s">
        <v>21</v>
      </c>
      <c r="K44" s="5"/>
      <c r="L44" s="5"/>
    </row>
    <row r="45" customFormat="false" ht="42" hidden="false" customHeight="true" outlineLevel="0" collapsed="false">
      <c r="A45" s="7" t="n">
        <v>35</v>
      </c>
      <c r="B45" s="8" t="s">
        <v>903</v>
      </c>
      <c r="C45" s="8" t="s">
        <v>868</v>
      </c>
      <c r="D45" s="8" t="s">
        <v>900</v>
      </c>
      <c r="E45" s="8" t="s">
        <v>904</v>
      </c>
      <c r="F45" s="8" t="s">
        <v>905</v>
      </c>
      <c r="G45" s="9" t="s">
        <v>34</v>
      </c>
      <c r="H45" s="9" t="s">
        <v>19</v>
      </c>
      <c r="I45" s="9" t="s">
        <v>103</v>
      </c>
      <c r="J45" s="9" t="s">
        <v>21</v>
      </c>
      <c r="K45" s="8"/>
      <c r="L45" s="8"/>
    </row>
    <row r="46" customFormat="false" ht="42" hidden="false" customHeight="true" outlineLevel="0" collapsed="false">
      <c r="A46" s="4" t="n">
        <v>36</v>
      </c>
      <c r="B46" s="5" t="s">
        <v>906</v>
      </c>
      <c r="C46" s="5" t="s">
        <v>868</v>
      </c>
      <c r="D46" s="5" t="s">
        <v>900</v>
      </c>
      <c r="E46" s="5" t="s">
        <v>907</v>
      </c>
      <c r="F46" s="5" t="s">
        <v>908</v>
      </c>
      <c r="G46" s="6" t="s">
        <v>34</v>
      </c>
      <c r="H46" s="6" t="s">
        <v>19</v>
      </c>
      <c r="I46" s="6" t="s">
        <v>43</v>
      </c>
      <c r="J46" s="6" t="s">
        <v>21</v>
      </c>
      <c r="K46" s="5"/>
      <c r="L46" s="5"/>
    </row>
    <row r="47" customFormat="false" ht="42" hidden="false" customHeight="true" outlineLevel="0" collapsed="false">
      <c r="A47" s="7" t="n">
        <v>37</v>
      </c>
      <c r="B47" s="8" t="s">
        <v>909</v>
      </c>
      <c r="C47" s="8" t="s">
        <v>868</v>
      </c>
      <c r="D47" s="8" t="s">
        <v>900</v>
      </c>
      <c r="E47" s="8" t="s">
        <v>910</v>
      </c>
      <c r="F47" s="8" t="s">
        <v>911</v>
      </c>
      <c r="G47" s="9" t="s">
        <v>34</v>
      </c>
      <c r="H47" s="9" t="s">
        <v>19</v>
      </c>
      <c r="I47" s="9" t="s">
        <v>43</v>
      </c>
      <c r="J47" s="9" t="s">
        <v>21</v>
      </c>
      <c r="K47" s="8"/>
      <c r="L47" s="8"/>
    </row>
    <row r="48" customFormat="false" ht="42" hidden="false" customHeight="true" outlineLevel="0" collapsed="false">
      <c r="A48" s="4" t="n">
        <v>38</v>
      </c>
      <c r="B48" s="5" t="s">
        <v>912</v>
      </c>
      <c r="C48" s="5" t="s">
        <v>868</v>
      </c>
      <c r="D48" s="5" t="s">
        <v>900</v>
      </c>
      <c r="E48" s="5" t="s">
        <v>913</v>
      </c>
      <c r="F48" s="5" t="s">
        <v>914</v>
      </c>
      <c r="G48" s="6" t="s">
        <v>34</v>
      </c>
      <c r="H48" s="6" t="s">
        <v>19</v>
      </c>
      <c r="I48" s="6" t="s">
        <v>43</v>
      </c>
      <c r="J48" s="6" t="s">
        <v>21</v>
      </c>
      <c r="K48" s="5"/>
      <c r="L48" s="5"/>
    </row>
  </sheetData>
  <autoFilter ref="A1:L48"/>
  <dataValidations count="4">
    <dataValidation allowBlank="false" errorStyle="stop" operator="between" showDropDown="false" showErrorMessage="false" showInputMessage="false" sqref="J2:J249" type="list">
      <formula1>"Not Started,In Progress,Pass,Fail,N/A"</formula1>
      <formula2>0</formula2>
    </dataValidation>
    <dataValidation allowBlank="false" errorStyle="stop" operator="between" showDropDown="false" showErrorMessage="false" showInputMessage="false" sqref="I2:I249" type="list">
      <formula1>"Critical,High,Medium,Low,Info"</formula1>
      <formula2>0</formula2>
    </dataValidation>
    <dataValidation allowBlank="false" errorStyle="stop" operator="between" showDropDown="false" showErrorMessage="false" showInputMessage="false" sqref="G2:G249" type="list">
      <formula1>"Black-Box,Scoped,Both"</formula1>
      <formula2>0</formula2>
    </dataValidation>
    <dataValidation allowBlank="false" errorStyle="stop" operator="between" showDropDown="false" showErrorMessage="false" showInputMessage="false" sqref="H2:H249" type="list">
      <formula1>"Test,Setup"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F9E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4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305</v>
      </c>
      <c r="E1" s="1" t="s">
        <v>4</v>
      </c>
      <c r="F1" s="1" t="s">
        <v>5</v>
      </c>
      <c r="G1" s="1" t="s">
        <v>306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5.75" hidden="false" customHeight="true" outlineLevel="0" collapsed="false">
      <c r="A2" s="2" t="s">
        <v>915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42" hidden="false" customHeight="true" outlineLevel="0" collapsed="false">
      <c r="A3" s="4" t="n">
        <v>1</v>
      </c>
      <c r="B3" s="5" t="s">
        <v>916</v>
      </c>
      <c r="C3" s="5" t="s">
        <v>917</v>
      </c>
      <c r="D3" s="5" t="s">
        <v>918</v>
      </c>
      <c r="E3" s="5" t="s">
        <v>919</v>
      </c>
      <c r="F3" s="5" t="s">
        <v>920</v>
      </c>
      <c r="G3" s="6" t="s">
        <v>312</v>
      </c>
      <c r="H3" s="6" t="s">
        <v>313</v>
      </c>
      <c r="I3" s="6" t="s">
        <v>19</v>
      </c>
      <c r="J3" s="6" t="s">
        <v>103</v>
      </c>
      <c r="K3" s="5" t="s">
        <v>21</v>
      </c>
      <c r="L3" s="5"/>
      <c r="M3" s="5"/>
    </row>
    <row r="4" customFormat="false" ht="42" hidden="false" customHeight="true" outlineLevel="0" collapsed="false">
      <c r="A4" s="7" t="n">
        <v>2</v>
      </c>
      <c r="B4" s="8" t="s">
        <v>921</v>
      </c>
      <c r="C4" s="8" t="s">
        <v>917</v>
      </c>
      <c r="D4" s="8" t="s">
        <v>918</v>
      </c>
      <c r="E4" s="8" t="s">
        <v>922</v>
      </c>
      <c r="F4" s="8" t="s">
        <v>923</v>
      </c>
      <c r="G4" s="9" t="s">
        <v>312</v>
      </c>
      <c r="H4" s="9" t="s">
        <v>313</v>
      </c>
      <c r="I4" s="9" t="s">
        <v>19</v>
      </c>
      <c r="J4" s="9" t="s">
        <v>43</v>
      </c>
      <c r="K4" s="8" t="s">
        <v>21</v>
      </c>
      <c r="L4" s="8"/>
      <c r="M4" s="8"/>
    </row>
    <row r="5" customFormat="false" ht="42" hidden="false" customHeight="true" outlineLevel="0" collapsed="false">
      <c r="A5" s="4" t="n">
        <v>3</v>
      </c>
      <c r="B5" s="5" t="s">
        <v>924</v>
      </c>
      <c r="C5" s="5" t="s">
        <v>925</v>
      </c>
      <c r="D5" s="5" t="s">
        <v>918</v>
      </c>
      <c r="E5" s="5" t="s">
        <v>926</v>
      </c>
      <c r="F5" s="5" t="s">
        <v>927</v>
      </c>
      <c r="G5" s="6" t="s">
        <v>312</v>
      </c>
      <c r="H5" s="6" t="s">
        <v>313</v>
      </c>
      <c r="I5" s="6" t="s">
        <v>19</v>
      </c>
      <c r="J5" s="6" t="s">
        <v>43</v>
      </c>
      <c r="K5" s="5" t="s">
        <v>21</v>
      </c>
      <c r="L5" s="5"/>
      <c r="M5" s="5"/>
    </row>
    <row r="6" customFormat="false" ht="42" hidden="false" customHeight="true" outlineLevel="0" collapsed="false">
      <c r="A6" s="7" t="n">
        <v>4</v>
      </c>
      <c r="B6" s="8" t="s">
        <v>928</v>
      </c>
      <c r="C6" s="8" t="s">
        <v>873</v>
      </c>
      <c r="D6" s="8" t="s">
        <v>918</v>
      </c>
      <c r="E6" s="8" t="s">
        <v>929</v>
      </c>
      <c r="F6" s="8" t="s">
        <v>930</v>
      </c>
      <c r="G6" s="9" t="s">
        <v>312</v>
      </c>
      <c r="H6" s="9" t="s">
        <v>313</v>
      </c>
      <c r="I6" s="9" t="s">
        <v>19</v>
      </c>
      <c r="J6" s="9" t="s">
        <v>43</v>
      </c>
      <c r="K6" s="8" t="s">
        <v>21</v>
      </c>
      <c r="L6" s="8"/>
      <c r="M6" s="8"/>
    </row>
    <row r="7" customFormat="false" ht="15.75" hidden="false" customHeight="true" outlineLevel="0" collapsed="false">
      <c r="A7" s="2" t="s">
        <v>931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42" hidden="false" customHeight="true" outlineLevel="0" collapsed="false">
      <c r="A8" s="4" t="n">
        <v>5</v>
      </c>
      <c r="B8" s="5" t="s">
        <v>932</v>
      </c>
      <c r="C8" s="5" t="s">
        <v>857</v>
      </c>
      <c r="D8" s="5" t="s">
        <v>933</v>
      </c>
      <c r="E8" s="5" t="s">
        <v>934</v>
      </c>
      <c r="F8" s="5" t="s">
        <v>935</v>
      </c>
      <c r="G8" s="6" t="s">
        <v>312</v>
      </c>
      <c r="H8" s="6" t="s">
        <v>313</v>
      </c>
      <c r="I8" s="6" t="s">
        <v>19</v>
      </c>
      <c r="J8" s="6" t="s">
        <v>43</v>
      </c>
      <c r="K8" s="5" t="s">
        <v>21</v>
      </c>
      <c r="L8" s="5"/>
      <c r="M8" s="5"/>
    </row>
    <row r="9" customFormat="false" ht="42" hidden="false" customHeight="true" outlineLevel="0" collapsed="false">
      <c r="A9" s="7" t="n">
        <v>6</v>
      </c>
      <c r="B9" s="8" t="s">
        <v>936</v>
      </c>
      <c r="C9" s="8" t="s">
        <v>857</v>
      </c>
      <c r="D9" s="8" t="s">
        <v>933</v>
      </c>
      <c r="E9" s="8" t="s">
        <v>937</v>
      </c>
      <c r="F9" s="8" t="s">
        <v>938</v>
      </c>
      <c r="G9" s="9" t="s">
        <v>312</v>
      </c>
      <c r="H9" s="9" t="s">
        <v>313</v>
      </c>
      <c r="I9" s="9" t="s">
        <v>19</v>
      </c>
      <c r="J9" s="9" t="s">
        <v>35</v>
      </c>
      <c r="K9" s="8" t="s">
        <v>21</v>
      </c>
      <c r="L9" s="8"/>
      <c r="M9" s="8"/>
    </row>
    <row r="10" customFormat="false" ht="42" hidden="false" customHeight="true" outlineLevel="0" collapsed="false">
      <c r="A10" s="4" t="n">
        <v>7</v>
      </c>
      <c r="B10" s="5" t="s">
        <v>939</v>
      </c>
      <c r="C10" s="5" t="s">
        <v>827</v>
      </c>
      <c r="D10" s="5" t="s">
        <v>933</v>
      </c>
      <c r="E10" s="5" t="s">
        <v>940</v>
      </c>
      <c r="F10" s="5" t="s">
        <v>941</v>
      </c>
      <c r="G10" s="6" t="s">
        <v>312</v>
      </c>
      <c r="H10" s="6" t="s">
        <v>313</v>
      </c>
      <c r="I10" s="6" t="s">
        <v>19</v>
      </c>
      <c r="J10" s="6" t="s">
        <v>35</v>
      </c>
      <c r="K10" s="5" t="s">
        <v>21</v>
      </c>
      <c r="L10" s="5"/>
      <c r="M10" s="5"/>
    </row>
    <row r="11" customFormat="false" ht="42" hidden="false" customHeight="true" outlineLevel="0" collapsed="false">
      <c r="A11" s="7" t="n">
        <v>8</v>
      </c>
      <c r="B11" s="8" t="s">
        <v>942</v>
      </c>
      <c r="C11" s="8" t="s">
        <v>836</v>
      </c>
      <c r="D11" s="8" t="s">
        <v>933</v>
      </c>
      <c r="E11" s="8" t="s">
        <v>943</v>
      </c>
      <c r="F11" s="8" t="s">
        <v>944</v>
      </c>
      <c r="G11" s="9" t="s">
        <v>312</v>
      </c>
      <c r="H11" s="9" t="s">
        <v>313</v>
      </c>
      <c r="I11" s="9" t="s">
        <v>19</v>
      </c>
      <c r="J11" s="9" t="s">
        <v>43</v>
      </c>
      <c r="K11" s="8" t="s">
        <v>21</v>
      </c>
      <c r="L11" s="8"/>
      <c r="M11" s="8"/>
    </row>
    <row r="12" customFormat="false" ht="15.75" hidden="false" customHeight="true" outlineLevel="0" collapsed="false">
      <c r="A12" s="2" t="s">
        <v>945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42" hidden="false" customHeight="true" outlineLevel="0" collapsed="false">
      <c r="A13" s="4" t="n">
        <v>9</v>
      </c>
      <c r="B13" s="5" t="s">
        <v>946</v>
      </c>
      <c r="C13" s="5" t="s">
        <v>868</v>
      </c>
      <c r="D13" s="5" t="s">
        <v>947</v>
      </c>
      <c r="E13" s="5" t="s">
        <v>948</v>
      </c>
      <c r="F13" s="5" t="s">
        <v>949</v>
      </c>
      <c r="G13" s="6" t="s">
        <v>312</v>
      </c>
      <c r="H13" s="6" t="s">
        <v>313</v>
      </c>
      <c r="I13" s="6" t="s">
        <v>19</v>
      </c>
      <c r="J13" s="6" t="s">
        <v>43</v>
      </c>
      <c r="K13" s="5" t="s">
        <v>21</v>
      </c>
      <c r="L13" s="5"/>
      <c r="M13" s="5"/>
    </row>
    <row r="14" customFormat="false" ht="42" hidden="false" customHeight="true" outlineLevel="0" collapsed="false">
      <c r="A14" s="7" t="n">
        <v>10</v>
      </c>
      <c r="B14" s="8" t="s">
        <v>950</v>
      </c>
      <c r="C14" s="8" t="s">
        <v>868</v>
      </c>
      <c r="D14" s="8" t="s">
        <v>947</v>
      </c>
      <c r="E14" s="8" t="s">
        <v>951</v>
      </c>
      <c r="F14" s="8" t="s">
        <v>952</v>
      </c>
      <c r="G14" s="9" t="s">
        <v>312</v>
      </c>
      <c r="H14" s="9" t="s">
        <v>313</v>
      </c>
      <c r="I14" s="9" t="s">
        <v>19</v>
      </c>
      <c r="J14" s="9" t="s">
        <v>43</v>
      </c>
      <c r="K14" s="8" t="s">
        <v>21</v>
      </c>
      <c r="L14" s="8"/>
      <c r="M14" s="8"/>
    </row>
    <row r="15" customFormat="false" ht="42" hidden="false" customHeight="true" outlineLevel="0" collapsed="false">
      <c r="A15" s="4" t="n">
        <v>11</v>
      </c>
      <c r="B15" s="5" t="s">
        <v>953</v>
      </c>
      <c r="C15" s="5" t="s">
        <v>868</v>
      </c>
      <c r="D15" s="5" t="s">
        <v>947</v>
      </c>
      <c r="E15" s="5" t="s">
        <v>954</v>
      </c>
      <c r="F15" s="5" t="s">
        <v>955</v>
      </c>
      <c r="G15" s="6" t="s">
        <v>312</v>
      </c>
      <c r="H15" s="6" t="s">
        <v>313</v>
      </c>
      <c r="I15" s="6" t="s">
        <v>19</v>
      </c>
      <c r="J15" s="6" t="s">
        <v>43</v>
      </c>
      <c r="K15" s="5" t="s">
        <v>21</v>
      </c>
      <c r="L15" s="5"/>
      <c r="M15" s="5"/>
    </row>
    <row r="16" customFormat="false" ht="15.75" hidden="false" customHeight="true" outlineLevel="0" collapsed="false">
      <c r="A16" s="2" t="s">
        <v>956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42" hidden="false" customHeight="true" outlineLevel="0" collapsed="false">
      <c r="A17" s="4" t="n">
        <v>12</v>
      </c>
      <c r="B17" s="5" t="s">
        <v>957</v>
      </c>
      <c r="C17" s="5" t="s">
        <v>836</v>
      </c>
      <c r="D17" s="5" t="s">
        <v>958</v>
      </c>
      <c r="E17" s="5" t="s">
        <v>959</v>
      </c>
      <c r="F17" s="5" t="s">
        <v>960</v>
      </c>
      <c r="G17" s="6" t="s">
        <v>312</v>
      </c>
      <c r="H17" s="6" t="s">
        <v>313</v>
      </c>
      <c r="I17" s="6" t="s">
        <v>19</v>
      </c>
      <c r="J17" s="6" t="s">
        <v>103</v>
      </c>
      <c r="K17" s="5" t="s">
        <v>21</v>
      </c>
      <c r="L17" s="5"/>
      <c r="M17" s="5"/>
    </row>
    <row r="18" customFormat="false" ht="42" hidden="false" customHeight="true" outlineLevel="0" collapsed="false">
      <c r="A18" s="7" t="n">
        <v>13</v>
      </c>
      <c r="B18" s="8" t="s">
        <v>961</v>
      </c>
      <c r="C18" s="8" t="s">
        <v>836</v>
      </c>
      <c r="D18" s="8" t="s">
        <v>958</v>
      </c>
      <c r="E18" s="8" t="s">
        <v>962</v>
      </c>
      <c r="F18" s="8" t="s">
        <v>963</v>
      </c>
      <c r="G18" s="9" t="s">
        <v>312</v>
      </c>
      <c r="H18" s="9" t="s">
        <v>313</v>
      </c>
      <c r="I18" s="9" t="s">
        <v>19</v>
      </c>
      <c r="J18" s="9" t="s">
        <v>103</v>
      </c>
      <c r="K18" s="8" t="s">
        <v>21</v>
      </c>
      <c r="L18" s="8"/>
      <c r="M18" s="8"/>
    </row>
    <row r="19" customFormat="false" ht="42" hidden="false" customHeight="true" outlineLevel="0" collapsed="false">
      <c r="A19" s="4" t="n">
        <v>14</v>
      </c>
      <c r="B19" s="5" t="s">
        <v>964</v>
      </c>
      <c r="C19" s="5" t="s">
        <v>809</v>
      </c>
      <c r="D19" s="5" t="s">
        <v>958</v>
      </c>
      <c r="E19" s="5" t="s">
        <v>965</v>
      </c>
      <c r="F19" s="5" t="s">
        <v>966</v>
      </c>
      <c r="G19" s="6" t="s">
        <v>312</v>
      </c>
      <c r="H19" s="6" t="s">
        <v>313</v>
      </c>
      <c r="I19" s="6" t="s">
        <v>19</v>
      </c>
      <c r="J19" s="6" t="s">
        <v>43</v>
      </c>
      <c r="K19" s="5" t="s">
        <v>21</v>
      </c>
      <c r="L19" s="5"/>
      <c r="M19" s="5"/>
    </row>
    <row r="20" customFormat="false" ht="15.75" hidden="false" customHeight="true" outlineLevel="0" collapsed="false">
      <c r="A20" s="2" t="s">
        <v>967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42" hidden="false" customHeight="true" outlineLevel="0" collapsed="false">
      <c r="A21" s="4" t="n">
        <v>15</v>
      </c>
      <c r="B21" s="5" t="s">
        <v>968</v>
      </c>
      <c r="C21" s="5" t="s">
        <v>868</v>
      </c>
      <c r="D21" s="5" t="s">
        <v>744</v>
      </c>
      <c r="E21" s="5" t="s">
        <v>969</v>
      </c>
      <c r="F21" s="5" t="s">
        <v>970</v>
      </c>
      <c r="G21" s="6" t="s">
        <v>312</v>
      </c>
      <c r="H21" s="6" t="s">
        <v>313</v>
      </c>
      <c r="I21" s="6" t="s">
        <v>19</v>
      </c>
      <c r="J21" s="6" t="s">
        <v>103</v>
      </c>
      <c r="K21" s="5" t="s">
        <v>21</v>
      </c>
      <c r="L21" s="5"/>
      <c r="M21" s="5"/>
    </row>
    <row r="22" customFormat="false" ht="42" hidden="false" customHeight="true" outlineLevel="0" collapsed="false">
      <c r="A22" s="7" t="n">
        <v>16</v>
      </c>
      <c r="B22" s="8" t="s">
        <v>971</v>
      </c>
      <c r="C22" s="8" t="s">
        <v>868</v>
      </c>
      <c r="D22" s="8" t="s">
        <v>744</v>
      </c>
      <c r="E22" s="8" t="s">
        <v>972</v>
      </c>
      <c r="F22" s="8" t="s">
        <v>973</v>
      </c>
      <c r="G22" s="9" t="s">
        <v>312</v>
      </c>
      <c r="H22" s="9" t="s">
        <v>313</v>
      </c>
      <c r="I22" s="9" t="s">
        <v>19</v>
      </c>
      <c r="J22" s="9" t="s">
        <v>103</v>
      </c>
      <c r="K22" s="8" t="s">
        <v>21</v>
      </c>
      <c r="L22" s="8"/>
      <c r="M22" s="8"/>
    </row>
    <row r="23" customFormat="false" ht="42" hidden="false" customHeight="true" outlineLevel="0" collapsed="false">
      <c r="A23" s="4" t="n">
        <v>17</v>
      </c>
      <c r="B23" s="5" t="s">
        <v>974</v>
      </c>
      <c r="C23" s="5" t="s">
        <v>868</v>
      </c>
      <c r="D23" s="5" t="s">
        <v>744</v>
      </c>
      <c r="E23" s="5" t="s">
        <v>975</v>
      </c>
      <c r="F23" s="5" t="s">
        <v>976</v>
      </c>
      <c r="G23" s="6" t="s">
        <v>312</v>
      </c>
      <c r="H23" s="6" t="s">
        <v>313</v>
      </c>
      <c r="I23" s="6" t="s">
        <v>19</v>
      </c>
      <c r="J23" s="6" t="s">
        <v>43</v>
      </c>
      <c r="K23" s="5" t="s">
        <v>21</v>
      </c>
      <c r="L23" s="5"/>
      <c r="M23" s="5"/>
    </row>
    <row r="24" customFormat="false" ht="15.75" hidden="false" customHeight="true" outlineLevel="0" collapsed="false">
      <c r="A24" s="2" t="s">
        <v>753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42" hidden="false" customHeight="true" outlineLevel="0" collapsed="false">
      <c r="A25" s="4" t="n">
        <v>18</v>
      </c>
      <c r="B25" s="5" t="s">
        <v>977</v>
      </c>
      <c r="C25" s="5" t="s">
        <v>809</v>
      </c>
      <c r="D25" s="5" t="s">
        <v>753</v>
      </c>
      <c r="E25" s="5" t="s">
        <v>978</v>
      </c>
      <c r="F25" s="5" t="s">
        <v>979</v>
      </c>
      <c r="G25" s="6" t="s">
        <v>312</v>
      </c>
      <c r="H25" s="6" t="s">
        <v>313</v>
      </c>
      <c r="I25" s="6" t="s">
        <v>19</v>
      </c>
      <c r="J25" s="6" t="s">
        <v>43</v>
      </c>
      <c r="K25" s="5" t="s">
        <v>21</v>
      </c>
      <c r="L25" s="5"/>
      <c r="M25" s="5"/>
    </row>
    <row r="26" customFormat="false" ht="42" hidden="false" customHeight="true" outlineLevel="0" collapsed="false">
      <c r="A26" s="7" t="n">
        <v>19</v>
      </c>
      <c r="B26" s="8" t="s">
        <v>980</v>
      </c>
      <c r="C26" s="8" t="s">
        <v>809</v>
      </c>
      <c r="D26" s="8" t="s">
        <v>753</v>
      </c>
      <c r="E26" s="8" t="s">
        <v>981</v>
      </c>
      <c r="F26" s="8" t="s">
        <v>982</v>
      </c>
      <c r="G26" s="9" t="s">
        <v>312</v>
      </c>
      <c r="H26" s="9" t="s">
        <v>313</v>
      </c>
      <c r="I26" s="9" t="s">
        <v>19</v>
      </c>
      <c r="J26" s="9" t="s">
        <v>103</v>
      </c>
      <c r="K26" s="8" t="s">
        <v>21</v>
      </c>
      <c r="L26" s="8"/>
      <c r="M26" s="8"/>
    </row>
    <row r="27" customFormat="false" ht="15.75" hidden="false" customHeight="true" outlineLevel="0" collapsed="false">
      <c r="A27" s="2" t="s">
        <v>983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42" hidden="false" customHeight="true" outlineLevel="0" collapsed="false">
      <c r="A28" s="4" t="n">
        <v>20</v>
      </c>
      <c r="B28" s="5" t="s">
        <v>984</v>
      </c>
      <c r="C28" s="5" t="s">
        <v>836</v>
      </c>
      <c r="D28" s="5" t="s">
        <v>723</v>
      </c>
      <c r="E28" s="5" t="s">
        <v>985</v>
      </c>
      <c r="F28" s="5" t="s">
        <v>986</v>
      </c>
      <c r="G28" s="6" t="s">
        <v>312</v>
      </c>
      <c r="H28" s="6" t="s">
        <v>313</v>
      </c>
      <c r="I28" s="6" t="s">
        <v>19</v>
      </c>
      <c r="J28" s="6" t="s">
        <v>103</v>
      </c>
      <c r="K28" s="5" t="s">
        <v>21</v>
      </c>
      <c r="L28" s="5"/>
      <c r="M28" s="5"/>
    </row>
    <row r="29" customFormat="false" ht="42" hidden="false" customHeight="true" outlineLevel="0" collapsed="false">
      <c r="A29" s="7" t="n">
        <v>21</v>
      </c>
      <c r="B29" s="8" t="s">
        <v>987</v>
      </c>
      <c r="C29" s="8" t="s">
        <v>223</v>
      </c>
      <c r="D29" s="8" t="s">
        <v>723</v>
      </c>
      <c r="E29" s="8" t="s">
        <v>988</v>
      </c>
      <c r="F29" s="8" t="s">
        <v>989</v>
      </c>
      <c r="G29" s="9" t="s">
        <v>312</v>
      </c>
      <c r="H29" s="9" t="s">
        <v>313</v>
      </c>
      <c r="I29" s="9" t="s">
        <v>19</v>
      </c>
      <c r="J29" s="9" t="s">
        <v>43</v>
      </c>
      <c r="K29" s="8" t="s">
        <v>21</v>
      </c>
      <c r="L29" s="8"/>
      <c r="M29" s="8"/>
    </row>
  </sheetData>
  <autoFilter ref="A1:M29"/>
  <dataValidations count="5">
    <dataValidation allowBlank="false" errorStyle="stop" operator="between" showDropDown="false" showErrorMessage="false" showInputMessage="false" sqref="K2:K230" type="list">
      <formula1>"Not Started,In Progress,Pass,Fail,N/A"</formula1>
      <formula2>0</formula2>
    </dataValidation>
    <dataValidation allowBlank="false" errorStyle="stop" operator="between" showDropDown="false" showErrorMessage="false" showInputMessage="false" sqref="J2:J230" type="list">
      <formula1>"Critical,High,Medium,Low,Info"</formula1>
      <formula2>0</formula2>
    </dataValidation>
    <dataValidation allowBlank="false" errorStyle="stop" operator="between" showDropDown="false" showErrorMessage="false" showInputMessage="false" sqref="H2:H230" type="list">
      <formula1>"Black-Box,Scoped,Both"</formula1>
      <formula2>0</formula2>
    </dataValidation>
    <dataValidation allowBlank="false" errorStyle="stop" operator="between" showDropDown="false" showErrorMessage="false" showInputMessage="false" sqref="I2:I230" type="list">
      <formula1>"Test,Setup"</formula1>
      <formula2>0</formula2>
    </dataValidation>
    <dataValidation allowBlank="false" errorStyle="stop" operator="between" showDropDown="false" showErrorMessage="false" showInputMessage="false" sqref="G2:G230" type="list">
      <formula1>"Y,N,—"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5555"/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19.5" hidden="false" customHeight="true" outlineLevel="0" collapsed="false">
      <c r="A1" s="10" t="s">
        <v>990</v>
      </c>
      <c r="B1" s="11"/>
      <c r="C1" s="11"/>
      <c r="D1" s="11"/>
      <c r="E1" s="11"/>
    </row>
    <row r="2" customFormat="false" ht="30" hidden="false" customHeight="true" outlineLevel="0" collapsed="false">
      <c r="A2" s="5" t="s">
        <v>21</v>
      </c>
      <c r="B2" s="5" t="s">
        <v>991</v>
      </c>
    </row>
    <row r="3" customFormat="false" ht="30" hidden="false" customHeight="true" outlineLevel="0" collapsed="false">
      <c r="A3" s="8" t="s">
        <v>992</v>
      </c>
      <c r="B3" s="8" t="s">
        <v>993</v>
      </c>
    </row>
    <row r="4" customFormat="false" ht="30" hidden="false" customHeight="true" outlineLevel="0" collapsed="false">
      <c r="A4" s="5" t="s">
        <v>994</v>
      </c>
      <c r="B4" s="5" t="s">
        <v>995</v>
      </c>
    </row>
    <row r="5" customFormat="false" ht="30" hidden="false" customHeight="true" outlineLevel="0" collapsed="false">
      <c r="A5" s="8" t="s">
        <v>996</v>
      </c>
      <c r="B5" s="8" t="s">
        <v>997</v>
      </c>
    </row>
    <row r="6" customFormat="false" ht="30" hidden="false" customHeight="true" outlineLevel="0" collapsed="false">
      <c r="A6" s="5" t="s">
        <v>998</v>
      </c>
      <c r="B6" s="5" t="s">
        <v>999</v>
      </c>
    </row>
    <row r="8" customFormat="false" ht="19.5" hidden="false" customHeight="true" outlineLevel="0" collapsed="false">
      <c r="A8" s="10" t="s">
        <v>1000</v>
      </c>
      <c r="B8" s="11"/>
      <c r="C8" s="11"/>
      <c r="D8" s="11"/>
      <c r="E8" s="11"/>
    </row>
    <row r="9" customFormat="false" ht="30" hidden="false" customHeight="true" outlineLevel="0" collapsed="false">
      <c r="A9" s="5" t="s">
        <v>103</v>
      </c>
      <c r="B9" s="5" t="s">
        <v>1001</v>
      </c>
    </row>
    <row r="10" customFormat="false" ht="30" hidden="false" customHeight="true" outlineLevel="0" collapsed="false">
      <c r="A10" s="8" t="s">
        <v>43</v>
      </c>
      <c r="B10" s="8" t="s">
        <v>1002</v>
      </c>
    </row>
    <row r="11" customFormat="false" ht="30" hidden="false" customHeight="true" outlineLevel="0" collapsed="false">
      <c r="A11" s="5" t="s">
        <v>35</v>
      </c>
      <c r="B11" s="5" t="s">
        <v>1003</v>
      </c>
    </row>
    <row r="12" customFormat="false" ht="30" hidden="false" customHeight="true" outlineLevel="0" collapsed="false">
      <c r="A12" s="8" t="s">
        <v>94</v>
      </c>
      <c r="B12" s="8" t="s">
        <v>1004</v>
      </c>
    </row>
    <row r="13" customFormat="false" ht="30" hidden="false" customHeight="true" outlineLevel="0" collapsed="false">
      <c r="A13" s="5" t="s">
        <v>20</v>
      </c>
      <c r="B13" s="5" t="s">
        <v>1005</v>
      </c>
    </row>
    <row r="15" customFormat="false" ht="19.5" hidden="false" customHeight="true" outlineLevel="0" collapsed="false">
      <c r="A15" s="10" t="s">
        <v>1006</v>
      </c>
      <c r="B15" s="11"/>
      <c r="C15" s="11"/>
      <c r="D15" s="11"/>
      <c r="E15" s="11"/>
    </row>
    <row r="16" customFormat="false" ht="30" hidden="false" customHeight="true" outlineLevel="0" collapsed="false">
      <c r="A16" s="5" t="s">
        <v>18</v>
      </c>
      <c r="B16" s="5" t="s">
        <v>1007</v>
      </c>
    </row>
    <row r="17" customFormat="false" ht="30" hidden="false" customHeight="true" outlineLevel="0" collapsed="false">
      <c r="A17" s="8" t="s">
        <v>313</v>
      </c>
      <c r="B17" s="8" t="s">
        <v>1008</v>
      </c>
    </row>
    <row r="18" customFormat="false" ht="30" hidden="false" customHeight="true" outlineLevel="0" collapsed="false">
      <c r="A18" s="5" t="s">
        <v>34</v>
      </c>
      <c r="B18" s="5" t="s">
        <v>1009</v>
      </c>
    </row>
    <row r="20" customFormat="false" ht="19.5" hidden="false" customHeight="true" outlineLevel="0" collapsed="false">
      <c r="A20" s="10" t="s">
        <v>1010</v>
      </c>
      <c r="B20" s="11"/>
      <c r="C20" s="11"/>
      <c r="D20" s="11"/>
      <c r="E20" s="11"/>
    </row>
    <row r="21" customFormat="false" ht="30" hidden="false" customHeight="true" outlineLevel="0" collapsed="false">
      <c r="A21" s="5" t="s">
        <v>19</v>
      </c>
      <c r="B21" s="5" t="s">
        <v>1011</v>
      </c>
    </row>
    <row r="22" customFormat="false" ht="30" hidden="false" customHeight="true" outlineLevel="0" collapsed="false">
      <c r="A22" s="8" t="s">
        <v>530</v>
      </c>
      <c r="B22" s="8" t="s">
        <v>1012</v>
      </c>
    </row>
    <row r="24" customFormat="false" ht="19.5" hidden="false" customHeight="true" outlineLevel="0" collapsed="false">
      <c r="A24" s="10" t="s">
        <v>1013</v>
      </c>
      <c r="B24" s="11"/>
      <c r="C24" s="11"/>
      <c r="D24" s="11"/>
      <c r="E24" s="11"/>
    </row>
    <row r="25" customFormat="false" ht="30" hidden="false" customHeight="true" outlineLevel="0" collapsed="false">
      <c r="A25" s="5" t="s">
        <v>1014</v>
      </c>
      <c r="B25" s="5" t="s">
        <v>1015</v>
      </c>
    </row>
    <row r="26" customFormat="false" ht="30" hidden="false" customHeight="true" outlineLevel="0" collapsed="false">
      <c r="A26" s="8" t="s">
        <v>1016</v>
      </c>
      <c r="B26" s="8" t="s">
        <v>1017</v>
      </c>
    </row>
    <row r="27" customFormat="false" ht="30" hidden="false" customHeight="true" outlineLevel="0" collapsed="false">
      <c r="A27" s="5" t="s">
        <v>312</v>
      </c>
      <c r="B27" s="5" t="s">
        <v>1018</v>
      </c>
    </row>
    <row r="29" customFormat="false" ht="19.5" hidden="false" customHeight="true" outlineLevel="0" collapsed="false">
      <c r="A29" s="10" t="s">
        <v>1019</v>
      </c>
      <c r="B29" s="11"/>
      <c r="C29" s="11"/>
      <c r="D29" s="11"/>
      <c r="E29" s="11"/>
    </row>
    <row r="30" customFormat="false" ht="30" hidden="false" customHeight="true" outlineLevel="0" collapsed="false">
      <c r="A30" s="5" t="s">
        <v>0</v>
      </c>
      <c r="B30" s="5" t="s">
        <v>1020</v>
      </c>
    </row>
    <row r="31" customFormat="false" ht="30" hidden="false" customHeight="true" outlineLevel="0" collapsed="false">
      <c r="A31" s="8" t="s">
        <v>1</v>
      </c>
      <c r="B31" s="8" t="s">
        <v>1021</v>
      </c>
    </row>
    <row r="32" customFormat="false" ht="30" hidden="false" customHeight="true" outlineLevel="0" collapsed="false">
      <c r="A32" s="5" t="s">
        <v>2</v>
      </c>
      <c r="B32" s="5" t="s">
        <v>1022</v>
      </c>
    </row>
    <row r="33" customFormat="false" ht="30" hidden="false" customHeight="true" outlineLevel="0" collapsed="false">
      <c r="A33" s="8" t="s">
        <v>1023</v>
      </c>
      <c r="B33" s="8" t="s">
        <v>1024</v>
      </c>
    </row>
    <row r="34" customFormat="false" ht="30" hidden="false" customHeight="true" outlineLevel="0" collapsed="false">
      <c r="A34" s="5" t="s">
        <v>4</v>
      </c>
      <c r="B34" s="5" t="s">
        <v>1025</v>
      </c>
    </row>
    <row r="35" customFormat="false" ht="30" hidden="false" customHeight="true" outlineLevel="0" collapsed="false">
      <c r="A35" s="8" t="s">
        <v>1026</v>
      </c>
      <c r="B35" s="8" t="s">
        <v>1027</v>
      </c>
    </row>
    <row r="36" customFormat="false" ht="30" hidden="false" customHeight="true" outlineLevel="0" collapsed="false">
      <c r="A36" s="5" t="s">
        <v>306</v>
      </c>
      <c r="B36" s="5" t="s">
        <v>1028</v>
      </c>
    </row>
    <row r="37" customFormat="false" ht="30" hidden="false" customHeight="true" outlineLevel="0" collapsed="false">
      <c r="A37" s="8" t="s">
        <v>6</v>
      </c>
      <c r="B37" s="8" t="s">
        <v>1029</v>
      </c>
    </row>
    <row r="38" customFormat="false" ht="30" hidden="false" customHeight="true" outlineLevel="0" collapsed="false">
      <c r="A38" s="5" t="s">
        <v>7</v>
      </c>
      <c r="B38" s="5" t="s">
        <v>1030</v>
      </c>
    </row>
    <row r="39" customFormat="false" ht="30" hidden="false" customHeight="true" outlineLevel="0" collapsed="false">
      <c r="A39" s="8" t="s">
        <v>8</v>
      </c>
      <c r="B39" s="8" t="s">
        <v>1031</v>
      </c>
    </row>
    <row r="40" customFormat="false" ht="30" hidden="false" customHeight="true" outlineLevel="0" collapsed="false">
      <c r="A40" s="5" t="s">
        <v>9</v>
      </c>
      <c r="B40" s="5" t="s">
        <v>1032</v>
      </c>
    </row>
    <row r="41" customFormat="false" ht="30" hidden="false" customHeight="true" outlineLevel="0" collapsed="false">
      <c r="A41" s="8" t="s">
        <v>10</v>
      </c>
      <c r="B41" s="8" t="s">
        <v>1033</v>
      </c>
    </row>
    <row r="42" customFormat="false" ht="30" hidden="false" customHeight="true" outlineLevel="0" collapsed="false">
      <c r="A42" s="5" t="s">
        <v>11</v>
      </c>
      <c r="B42" s="5" t="s">
        <v>1034</v>
      </c>
    </row>
    <row r="44" customFormat="false" ht="19.5" hidden="false" customHeight="true" outlineLevel="0" collapsed="false">
      <c r="A44" s="10" t="s">
        <v>1035</v>
      </c>
      <c r="B44" s="11"/>
      <c r="C44" s="11"/>
      <c r="D44" s="11"/>
      <c r="E44" s="11"/>
    </row>
    <row r="45" customFormat="false" ht="30" hidden="false" customHeight="true" outlineLevel="0" collapsed="false">
      <c r="A45" s="5" t="s">
        <v>1036</v>
      </c>
      <c r="B45" s="5" t="s">
        <v>1037</v>
      </c>
    </row>
    <row r="46" customFormat="false" ht="30" hidden="false" customHeight="true" outlineLevel="0" collapsed="false">
      <c r="A46" s="8" t="s">
        <v>1038</v>
      </c>
      <c r="B46" s="8" t="s">
        <v>1039</v>
      </c>
    </row>
    <row r="47" customFormat="false" ht="30" hidden="false" customHeight="true" outlineLevel="0" collapsed="false">
      <c r="A47" s="5" t="s">
        <v>1040</v>
      </c>
      <c r="B47" s="5" t="s">
        <v>1041</v>
      </c>
    </row>
    <row r="48" customFormat="false" ht="30" hidden="false" customHeight="true" outlineLevel="0" collapsed="false">
      <c r="A48" s="8" t="s">
        <v>1042</v>
      </c>
      <c r="B48" s="8" t="s">
        <v>1043</v>
      </c>
    </row>
    <row r="49" customFormat="false" ht="30" hidden="false" customHeight="true" outlineLevel="0" collapsed="false">
      <c r="A49" s="5" t="s">
        <v>1044</v>
      </c>
      <c r="B49" s="5" t="s">
        <v>1045</v>
      </c>
    </row>
    <row r="51" customFormat="false" ht="19.5" hidden="false" customHeight="true" outlineLevel="0" collapsed="false">
      <c r="A51" s="10" t="s">
        <v>1046</v>
      </c>
      <c r="B51" s="11"/>
      <c r="C51" s="11"/>
      <c r="D51" s="11"/>
      <c r="E51" s="11"/>
    </row>
    <row r="52" customFormat="false" ht="18" hidden="false" customHeight="true" outlineLevel="0" collapsed="false">
      <c r="A52" s="12" t="s">
        <v>1047</v>
      </c>
      <c r="B52" s="12" t="s">
        <v>1048</v>
      </c>
      <c r="C52" s="12" t="s">
        <v>994</v>
      </c>
      <c r="D52" s="12" t="s">
        <v>996</v>
      </c>
      <c r="E52" s="12" t="s">
        <v>992</v>
      </c>
      <c r="F52" s="12" t="s">
        <v>21</v>
      </c>
      <c r="G52" s="12" t="s">
        <v>998</v>
      </c>
    </row>
    <row r="53" customFormat="false" ht="18" hidden="false" customHeight="true" outlineLevel="0" collapsed="false">
      <c r="A53" s="13" t="s">
        <v>1049</v>
      </c>
      <c r="B53" s="4" t="n">
        <f aca="false">COUNTA('WEB - Baseline'!J2:J82)-COUNTIF('WEB - Baseline'!J2:J82,"N/A")</f>
        <v>68</v>
      </c>
      <c r="C53" s="4" t="n">
        <f aca="false">COUNTIF('WEB - Baseline'!J2:J82,"Pass")</f>
        <v>0</v>
      </c>
      <c r="D53" s="4" t="n">
        <f aca="false">COUNTIF('WEB - Baseline'!J2:J82,"Fail")</f>
        <v>0</v>
      </c>
      <c r="E53" s="4" t="n">
        <f aca="false">COUNTIF('WEB - Baseline'!J2:J82,"In Progress")</f>
        <v>0</v>
      </c>
      <c r="F53" s="4" t="n">
        <f aca="false">COUNTIF('WEB - Baseline'!J2:J82,"Not Started")</f>
        <v>68</v>
      </c>
      <c r="G53" s="4" t="n">
        <f aca="false">COUNTIF('WEB - Baseline'!J2:J82,"N/A")</f>
        <v>0</v>
      </c>
    </row>
    <row r="54" customFormat="false" ht="18" hidden="false" customHeight="true" outlineLevel="0" collapsed="false">
      <c r="A54" s="14" t="s">
        <v>1050</v>
      </c>
      <c r="B54" s="7" t="n">
        <f aca="false">COUNTA('WEB - Custom'!K2:K72)-COUNTIF('WEB - Custom'!K2:K72,"N/A")</f>
        <v>63</v>
      </c>
      <c r="C54" s="7" t="n">
        <f aca="false">COUNTIF('WEB - Custom'!K2:K72,"Pass")</f>
        <v>0</v>
      </c>
      <c r="D54" s="7" t="n">
        <f aca="false">COUNTIF('WEB - Custom'!K2:K72,"Fail")</f>
        <v>0</v>
      </c>
      <c r="E54" s="7" t="n">
        <f aca="false">COUNTIF('WEB - Custom'!K2:K72,"In Progress")</f>
        <v>0</v>
      </c>
      <c r="F54" s="7" t="n">
        <f aca="false">COUNTIF('WEB - Custom'!K2:K72,"Not Started")</f>
        <v>63</v>
      </c>
      <c r="G54" s="7" t="n">
        <f aca="false">COUNTIF('WEB - Custom'!K2:K72,"N/A")</f>
        <v>0</v>
      </c>
    </row>
    <row r="55" customFormat="false" ht="18" hidden="false" customHeight="true" outlineLevel="0" collapsed="false">
      <c r="A55" s="13" t="s">
        <v>1051</v>
      </c>
      <c r="B55" s="4" t="n">
        <f aca="false">COUNTA('MOBILE - Baseline'!J2:J52)-COUNTIF('MOBILE - Baseline'!J2:J52,"N/A")</f>
        <v>40</v>
      </c>
      <c r="C55" s="4" t="n">
        <f aca="false">COUNTIF('MOBILE - Baseline'!J2:J52,"Pass")</f>
        <v>0</v>
      </c>
      <c r="D55" s="4" t="n">
        <f aca="false">COUNTIF('MOBILE - Baseline'!J2:J52,"Fail")</f>
        <v>0</v>
      </c>
      <c r="E55" s="4" t="n">
        <f aca="false">COUNTIF('MOBILE - Baseline'!J2:J52,"In Progress")</f>
        <v>0</v>
      </c>
      <c r="F55" s="4" t="n">
        <f aca="false">COUNTIF('MOBILE - Baseline'!J2:J52,"Not Started")</f>
        <v>40</v>
      </c>
      <c r="G55" s="4" t="n">
        <f aca="false">COUNTIF('MOBILE - Baseline'!J2:J52,"N/A")</f>
        <v>0</v>
      </c>
    </row>
    <row r="56" customFormat="false" ht="18" hidden="false" customHeight="true" outlineLevel="0" collapsed="false">
      <c r="A56" s="14" t="s">
        <v>1052</v>
      </c>
      <c r="B56" s="7" t="n">
        <f aca="false">COUNTA('MOBILE - Custom'!K2:K31)-COUNTIF('MOBILE - Custom'!K2:K31,"N/A")</f>
        <v>22</v>
      </c>
      <c r="C56" s="7" t="n">
        <f aca="false">COUNTIF('MOBILE - Custom'!K2:K31,"Pass")</f>
        <v>0</v>
      </c>
      <c r="D56" s="7" t="n">
        <f aca="false">COUNTIF('MOBILE - Custom'!K2:K31,"Fail")</f>
        <v>0</v>
      </c>
      <c r="E56" s="7" t="n">
        <f aca="false">COUNTIF('MOBILE - Custom'!K2:K31,"In Progress")</f>
        <v>0</v>
      </c>
      <c r="F56" s="7" t="n">
        <f aca="false">COUNTIF('MOBILE - Custom'!K2:K31,"Not Started")</f>
        <v>22</v>
      </c>
      <c r="G56" s="7" t="n">
        <f aca="false">COUNTIF('MOBILE - Custom'!K2:K31,"N/A")</f>
        <v>0</v>
      </c>
    </row>
    <row r="57" customFormat="false" ht="18" hidden="false" customHeight="true" outlineLevel="0" collapsed="false">
      <c r="A57" s="13" t="s">
        <v>1053</v>
      </c>
      <c r="B57" s="4" t="n">
        <f aca="false">COUNTA('DESKTOP - Baseline'!J2:J49)-COUNTIF('DESKTOP - Baseline'!J2:J49,"N/A")</f>
        <v>38</v>
      </c>
      <c r="C57" s="4" t="n">
        <f aca="false">COUNTIF('DESKTOP - Baseline'!J2:J49,"Pass")</f>
        <v>0</v>
      </c>
      <c r="D57" s="4" t="n">
        <f aca="false">COUNTIF('DESKTOP - Baseline'!J2:J49,"Fail")</f>
        <v>0</v>
      </c>
      <c r="E57" s="4" t="n">
        <f aca="false">COUNTIF('DESKTOP - Baseline'!J2:J49,"In Progress")</f>
        <v>0</v>
      </c>
      <c r="F57" s="4" t="n">
        <f aca="false">COUNTIF('DESKTOP - Baseline'!J2:J49,"Not Started")</f>
        <v>38</v>
      </c>
      <c r="G57" s="4" t="n">
        <f aca="false">COUNTIF('DESKTOP - Baseline'!J2:J49,"N/A")</f>
        <v>0</v>
      </c>
    </row>
    <row r="58" customFormat="false" ht="18" hidden="false" customHeight="true" outlineLevel="0" collapsed="false">
      <c r="A58" s="14" t="s">
        <v>1054</v>
      </c>
      <c r="B58" s="7" t="n">
        <f aca="false">COUNTA('DESKTOP - Custom'!K2:K30)-COUNTIF('DESKTOP - Custom'!K2:K30,"N/A")</f>
        <v>21</v>
      </c>
      <c r="C58" s="7" t="n">
        <f aca="false">COUNTIF('DESKTOP - Custom'!K2:K30,"Pass")</f>
        <v>0</v>
      </c>
      <c r="D58" s="7" t="n">
        <f aca="false">COUNTIF('DESKTOP - Custom'!K2:K30,"Fail")</f>
        <v>0</v>
      </c>
      <c r="E58" s="7" t="n">
        <f aca="false">COUNTIF('DESKTOP - Custom'!K2:K30,"In Progress")</f>
        <v>0</v>
      </c>
      <c r="F58" s="7" t="n">
        <f aca="false">COUNTIF('DESKTOP - Custom'!K2:K30,"Not Started")</f>
        <v>21</v>
      </c>
      <c r="G58" s="7" t="n">
        <f aca="false">COUNTIF('DESKTOP - Custom'!K2:K30,"N/A")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2026-04-02T06:19:33Z</dcterms:created>
  <dc:creator>openpyxl</dc:creator>
  <dc:description/>
  <dc:language>en-US</dc:language>
  <cp:lastModifiedBy/>
  <dcterms:modified xsi:type="dcterms:W3CDTF">2026-04-02T06:19:33Z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